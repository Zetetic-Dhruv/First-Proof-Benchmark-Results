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acca1bb1204e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0566cea83324fe0"/>
    <x:sheet xmlns:r="http://schemas.openxmlformats.org/officeDocument/2006/relationships" name="Tactic Data" sheetId="2" r:id="Rc926a29a178548f1"/>
    <x:sheet xmlns:r="http://schemas.openxmlformats.org/officeDocument/2006/relationships" name="Proof Summary" sheetId="3" r:id="Rd918e44b6f934563"/>
    <x:sheet xmlns:r="http://schemas.openxmlformats.org/officeDocument/2006/relationships" name="Aggregate Metrics" sheetId="4" r:id="R35cb687acbdc46c2"/>
    <x:sheet xmlns:r="http://schemas.openxmlformats.org/officeDocument/2006/relationships" name="Process Traces" sheetId="5" r:id="Ra25aeffc67444711"/>
    <x:sheet xmlns:r="http://schemas.openxmlformats.org/officeDocument/2006/relationships" name="Cross-Problem Patterns" sheetId="6" r:id="R8382528e5b4b4f80"/>
  </x:sheets>
  <x:definedNames>
    <x:definedName name="_xlnm._FilterDatabase" localSheetId="1" hidden="1">'Tactic Data'!$A$4:$M$89</x:definedName>
    <x:definedName name="_xlnm._FilterDatabase" localSheetId="2" hidden="1">'Proof Summary'!$A$4:$S$14</x:definedName>
    <x:definedName name="_xlnm._FilterDatabase" localSheetId="4" hidden="1">'Process Traces'!$A$3:$F$32</x:definedName>
    <x:definedName name="_xlnm._FilterDatabase" localSheetId="5" hidden="1">'Cross-Problem Patterns'!$A$3:$E$17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%"/>
  </x:numFmts>
  <x:fonts count="14">
    <x:font>
      <x:sz val="11"/>
      <x:color theme="1"/>
      <x:name val="Calibri"/>
      <x:family val="2"/>
      <x:scheme val="minor"/>
    </x:font>
    <x:font>
      <x:b/>
      <x:sz val="16"/>
      <x:color rgb="001F3A5F"/>
      <x:name val="Calibri"/>
    </x:font>
    <x:font>
      <x:i/>
      <x:sz val="10"/>
      <x:color rgb="00666666"/>
      <x:name val="Calibri"/>
    </x:font>
    <x:font>
      <x:b/>
      <x:sz val="10"/>
      <x:color rgb="00FFFFFF"/>
      <x:name val="Calibri"/>
    </x:font>
    <x:font>
      <x:b/>
      <x:sz val="18"/>
      <x:color rgb="001F3A5F"/>
      <x:name val="Calibri"/>
    </x:font>
    <x:font>
      <x:b/>
      <x:sz val="11"/>
      <x:color rgb="00FFFFFF"/>
      <x:name val="Calibri"/>
    </x:font>
    <x:font>
      <x:b/>
      <x:sz val="10"/>
      <x:color rgb="001F3A5F"/>
      <x:name val="Calibri"/>
    </x:font>
    <x:font>
      <x:sz val="10"/>
      <x:color rgb="001F2937"/>
      <x:name val="Calibri"/>
    </x:font>
    <x:font>
      <x:b/>
      <x:sz val="10"/>
      <x:name val="Calibri"/>
    </x:font>
    <x:font>
      <x:b/>
      <x:sz val="10"/>
      <x:color rgb="001F2937"/>
      <x:name val="Calibri"/>
    </x:font>
    <x:font>
      <x:b/>
      <x:sz val="10"/>
      <x:color rgb="00375623"/>
      <x:name val="Calibri"/>
    </x:font>
    <x:font>
      <x:b/>
      <x:sz val="10"/>
      <x:color rgb="007F6000"/>
      <x:name val="Calibri"/>
    </x:font>
    <x:font>
      <x:b/>
      <x:sz val="10"/>
      <x:color rgb="009C0006"/>
      <x:name val="Calibri"/>
    </x:font>
    <x:font>
      <x:b/>
      <x:sz val="10"/>
      <x:color rgb="005B2C6F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001F3A5F"/>
      </x:patternFill>
    </x:fill>
    <x:fill>
      <x:patternFill patternType="solid">
        <x:fgColor rgb="00EBF4FB"/>
      </x:patternFill>
    </x:fill>
    <x:fill>
      <x:patternFill patternType="solid">
        <x:fgColor rgb="00E2F0D9"/>
      </x:patternFill>
    </x:fill>
    <x:fill>
      <x:patternFill patternType="solid">
        <x:fgColor rgb="00FCE4D6"/>
      </x:patternFill>
    </x:fill>
    <x:fill>
      <x:patternFill patternType="solid">
        <x:fgColor rgb="00FFF2CC"/>
      </x:patternFill>
    </x:fill>
    <x:fill>
      <x:patternFill patternType="solid">
        <x:fgColor rgb="00EADCF7"/>
      </x:patternFill>
    </x:fill>
  </x:fills>
  <x:borders count="5">
    <x:border>
      <x:left/>
      <x:right/>
      <x:top/>
      <x:bottom/>
      <x:diagonal/>
    </x:border>
    <x:border/>
    <x:border>
      <x:left style="thin">
        <x:color rgb="00D0D7DE"/>
      </x:left>
      <x:right style="thin">
        <x:color rgb="00D0D7DE"/>
      </x:right>
      <x:top style="thin">
        <x:color rgb="00D0D7DE"/>
      </x:top>
      <x:bottom style="thin">
        <x:color rgb="00D0D7DE"/>
      </x:bottom>
    </x:border>
    <x:border>
      <x:top style="medium">
        <x:color rgb="001F3A5F"/>
      </x:top>
      <x:bottom style="medium">
        <x:color rgb="001F3A5F"/>
      </x:bottom>
    </x:border>
    <x:border>
      <x:left style="thin">
        <x:color rgb="00D0D7DE"/>
      </x:left>
      <x:right style="thin">
        <x:color rgb="00D0D7DE"/>
      </x:right>
      <x:top style="medium">
        <x:color rgb="001F3A5F"/>
      </x:top>
      <x:bottom style="thin">
        <x:color rgb="00D0D7DE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1" xfId="0" applyAlignment="1">
      <x:alignment horizontal="left" vertical="center" wrapText="1"/>
    </x:xf>
    <x:xf numFmtId="0" fontId="2" fillId="0" borderId="1" xfId="0" applyAlignment="1">
      <x:alignment horizontal="left" vertical="center" wrapText="1"/>
    </x:xf>
    <x:xf numFmtId="0" fontId="3" fillId="2" borderId="2" xfId="0" applyAlignment="1">
      <x:alignment horizontal="center" vertical="center" wrapText="1"/>
    </x:xf>
    <x:xf numFmtId="0" fontId="0" fillId="2" borderId="2" xfId="0" applyAlignment="1">
      <x:alignment horizontal="center" vertical="center" wrapText="1"/>
    </x:xf>
    <x:xf numFmtId="0" fontId="4" fillId="3" borderId="2" xfId="0" applyAlignment="1">
      <x:alignment horizontal="center" vertical="center" wrapText="1"/>
    </x:xf>
    <x:xf numFmtId="0" fontId="0" fillId="3" borderId="2" xfId="0" applyAlignment="1">
      <x:alignment horizontal="center" vertical="center" wrapText="1"/>
    </x:xf>
    <x:xf numFmtId="0" fontId="5" fillId="2" borderId="3" xfId="0" applyAlignment="1">
      <x:alignment horizontal="left" vertical="center" wrapText="1"/>
    </x:xf>
    <x:xf numFmtId="0" fontId="6" fillId="3" borderId="2" xfId="0" applyAlignment="1">
      <x:alignment horizontal="left" vertical="center" wrapText="1"/>
    </x:xf>
    <x:xf numFmtId="0" fontId="7" fillId="0" borderId="2" xfId="0" applyAlignment="1">
      <x:alignment horizontal="left" vertical="top" wrapText="1"/>
    </x:xf>
    <x:xf numFmtId="0" fontId="0" fillId="0" borderId="2" xfId="0"/>
    <x:xf numFmtId="0" fontId="7" fillId="0" borderId="4" xfId="0" applyAlignment="1">
      <x:alignment horizontal="center" vertical="center" wrapText="1"/>
    </x:xf>
    <x:xf numFmtId="0" fontId="7" fillId="0" borderId="4" xfId="0" applyAlignment="1">
      <x:alignment horizontal="left" vertical="top" wrapText="1"/>
    </x:xf>
    <x:xf numFmtId="0" fontId="9" fillId="4" borderId="4" xfId="0" applyAlignment="1">
      <x:alignment horizontal="center" vertical="center" wrapText="1"/>
    </x:xf>
    <x:xf numFmtId="0" fontId="10" fillId="4" borderId="4" xfId="0" applyAlignment="1">
      <x:alignment horizontal="center" vertical="center" wrapText="1"/>
    </x:xf>
    <x:xf numFmtId="0" fontId="7" fillId="0" borderId="2" xfId="0" applyAlignment="1">
      <x:alignment horizontal="center" vertical="center" wrapText="1"/>
    </x:xf>
    <x:xf numFmtId="0" fontId="9" fillId="4" borderId="2" xfId="0" applyAlignment="1">
      <x:alignment horizontal="center" vertical="center" wrapText="1"/>
    </x:xf>
    <x:xf numFmtId="0" fontId="10" fillId="4" borderId="2" xfId="0" applyAlignment="1">
      <x:alignment horizontal="center" vertical="center" wrapText="1"/>
    </x:xf>
    <x:xf numFmtId="0" fontId="9" fillId="5" borderId="2" xfId="0" applyAlignment="1">
      <x:alignment horizontal="center" vertical="center" wrapText="1"/>
    </x:xf>
    <x:xf numFmtId="0" fontId="11" fillId="6" borderId="2" xfId="0" applyAlignment="1">
      <x:alignment horizontal="center" vertical="center" wrapText="1"/>
    </x:xf>
    <x:xf numFmtId="0" fontId="12" fillId="5" borderId="2" xfId="0" applyAlignment="1">
      <x:alignment horizontal="center" vertical="center" wrapText="1"/>
    </x:xf>
    <x:xf numFmtId="0" fontId="13" fillId="7" borderId="2" xfId="0" applyAlignment="1">
      <x:alignment horizontal="center" vertical="center" wrapText="1"/>
    </x:xf>
    <x:xf numFmtId="0" fontId="6" fillId="3" borderId="2" xfId="0" applyAlignment="1">
      <x:alignment horizontal="center" vertical="center" wrapText="1"/>
    </x:xf>
    <x:xf numFmtId="0" fontId="9" fillId="5" borderId="4" xfId="0" applyAlignment="1">
      <x:alignment horizontal="center" vertical="center" wrapText="1"/>
    </x:xf>
    <x:xf numFmtId="0" fontId="0" fillId="0" borderId="2" xfId="0" applyAlignment="1">
      <x:alignment horizontal="center" vertical="center" wrapText="1"/>
    </x:xf>
    <x:xf numFmtId="0" fontId="0" fillId="0" borderId="2" xfId="0" applyAlignment="1">
      <x:alignment horizontal="left" vertical="top" wrapText="1"/>
    </x:xf>
    <x:xf numFmtId="164" fontId="0" fillId="0" borderId="2" xfId="0" applyAlignment="1">
      <x:alignment horizontal="center" vertical="center" wrapText="1"/>
    </x:xf>
    <x:xf numFmtId="0" fontId="11" fillId="5" borderId="2" xfId="0" applyAlignment="1">
      <x:alignment horizontal="center" vertical="center" wrapText="1"/>
    </x:xf>
    <x:xf numFmtId="0" fontId="10" fillId="4" borderId="2" xfId="0" applyAlignment="1">
      <x:alignment horizontal="left" vertical="top" wrapText="1"/>
    </x:xf>
    <x:xf numFmtId="164" fontId="7" fillId="0" borderId="2" xfId="0" applyAlignment="1">
      <x:alignment horizontal="center" vertical="center" wrapText="1"/>
    </x:xf>
    <x:xf numFmtId="0" fontId="12" fillId="5" borderId="2" xfId="0" applyAlignment="1">
      <x:alignment horizontal="left" vertical="top" wrapText="1"/>
    </x:xf>
    <x:xf numFmtId="0" fontId="11" fillId="6" borderId="2" xfId="0" applyAlignment="1">
      <x:alignment horizontal="left" vertical="top" wrapText="1"/>
    </x:xf>
    <x:xf numFmtId="0" fontId="6" fillId="3" borderId="2" xfId="0" applyAlignment="1">
      <x:alignment horizontal="left" vertical="top" wrapText="1"/>
    </x:xf>
    <x:xf numFmtId="0" fontId="13" fillId="7" borderId="2" xfId="0" applyAlignment="1">
      <x:alignment horizontal="left" vertical="top" wrapText="1"/>
    </x:xf>
    <x:xf numFmtId="0" fontId="7" fillId="4" borderId="2" xfId="0" applyAlignment="1">
      <x:alignment horizontal="center" vertical="center" wrapText="1"/>
    </x:xf>
    <x:xf numFmtId="0" fontId="7" fillId="6" borderId="2" xfId="0" applyAlignment="1">
      <x:alignment horizontal="center" vertical="center" wrapText="1"/>
    </x:xf>
    <x:xf numFmtId="0" fontId="7" fillId="5" borderId="2" xfId="0" applyAlignment="1">
      <x:alignment horizontal="center" vertical="center" wrapText="1"/>
    </x:xf>
    <x:xf numFmtId="0" fontId="7" fillId="7" borderId="2" xfId="0" applyAlignment="1">
      <x:alignment horizontal="center" vertical="center" wrapText="1"/>
    </x:xf>
    <x:xf numFmtId="0" fontId="7" fillId="3" borderId="2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15e8416c88484f" /><Relationship Type="http://schemas.openxmlformats.org/officeDocument/2006/relationships/theme" Target="/xl/theme/theme1.xml" Id="R7eda4588067a4a0f" /><Relationship Type="http://schemas.openxmlformats.org/officeDocument/2006/relationships/sharedStrings" Target="/xl/sharedStrings.xml" Id="Re336fcb7c8784c6c" /><Relationship Type="http://schemas.openxmlformats.org/officeDocument/2006/relationships/worksheet" Target="/xl/worksheets/sheet1.xml" Id="R50566cea83324fe0" /><Relationship Type="http://schemas.openxmlformats.org/officeDocument/2006/relationships/worksheet" Target="/xl/worksheets/sheet2.xml" Id="Rc926a29a178548f1" /><Relationship Type="http://schemas.openxmlformats.org/officeDocument/2006/relationships/worksheet" Target="/xl/worksheets/sheet3.xml" Id="Rd918e44b6f934563" /><Relationship Type="http://schemas.openxmlformats.org/officeDocument/2006/relationships/worksheet" Target="/xl/worksheets/sheet4.xml" Id="R35cb687acbdc46c2" /><Relationship Type="http://schemas.openxmlformats.org/officeDocument/2006/relationships/worksheet" Target="/xl/worksheets/sheet5.xml" Id="Ra25aeffc67444711" /><Relationship Type="http://schemas.openxmlformats.org/officeDocument/2006/relationships/worksheet" Target="/xl/worksheets/sheet6.xml" Id="R8382528e5b4b4f8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9" customWidth="1"/>
    <x:col min="2" max="2" width="19" customWidth="1"/>
    <x:col min="3" max="3" width="19" customWidth="1"/>
    <x:col min="4" max="4" width="19" customWidth="1"/>
    <x:col min="5" max="5" width="19" customWidth="1"/>
    <x:col min="6" max="6" width="19" customWidth="1"/>
    <x:col min="7" max="7" width="19" customWidth="1"/>
    <x:col min="8" max="8" width="19" customWidth="1"/>
    <x:col min="9" max="9" width="19" customWidth="1"/>
    <x:col min="10" max="10" width="19" customWidth="1"/>
  </x:cols>
  <x:sheetData>
    <x:row r="1" ht="24" customHeight="1">
      <x:c r="A1" s="1" t="inlineStr">
        <x:is>
          <x:t xml:space="preserve">Autonomous Proof Discovery Pilot — Public Dataset</x:t>
        </x:is>
      </x:c>
    </x:row>
    <x:row r="2" ht="22" customHeight="1">
      <x:c r="A2" s="2" t="inlineStr">
        <x:is>
          <x:t xml:space="preserve">Public-language release of an audited pilot run: local open-source model, 8-hour unattended execution, consumer laptop, 0 human intervention.</x:t>
        </x:is>
      </x:c>
    </x:row>
    <x:row r="4">
      <x:c r="A4" s="3" t="inlineStr">
        <x:is>
          <x:t xml:space="preserve">Problems</x:t>
        </x:is>
      </x:c>
      <x:c r="B4" s="4" t="n"/>
      <x:c r="C4" s="3" t="inlineStr">
        <x:is>
          <x:t xml:space="preserve">Audited steps</x:t>
        </x:is>
      </x:c>
      <x:c r="D4" s="4" t="n"/>
      <x:c r="E4" s="3" t="inlineStr">
        <x:is>
          <x:t xml:space="preserve">Accepted steps</x:t>
        </x:is>
      </x:c>
      <x:c r="F4" s="4" t="n"/>
      <x:c r="G4" s="3" t="inlineStr">
        <x:is>
          <x:t xml:space="preserve">Proofs with no invalid inference</x:t>
        </x:is>
      </x:c>
      <x:c r="H4" s="4" t="n"/>
      <x:c r="I4" s="3" t="inlineStr">
        <x:is>
          <x:t xml:space="preserve">Accepted theorem-level proofs</x:t>
        </x:is>
      </x:c>
      <x:c r="J4" s="4" t="n"/>
    </x:row>
    <x:row r="5">
      <x:c r="A5" s="5">
        <x:f>COUNTA('Proof Summary'!$A$5:$A$14)</x:f>
        <x:v>10</x:v>
      </x:c>
      <x:c r="B5" s="6" t="n"/>
      <x:c r="C5" s="5">
        <x:f>COUNTA('Tactic Data'!$A$5:$A$500)</x:f>
        <x:v>85</x:v>
      </x:c>
      <x:c r="D5" s="6" t="n"/>
      <x:c r="E5" s="5">
        <x:f>COUNTIF('Tactic Data'!$J$5:$J$500,"Accepted")</x:f>
        <x:v>65</x:v>
      </x:c>
      <x:c r="F5" s="6" t="n"/>
      <x:c r="G5" s="5">
        <x:f>COUNTIF('Proof Summary'!$O$5:$O$14,"Yes")</x:f>
        <x:v>8</x:v>
      </x:c>
      <x:c r="H5" s="6" t="n"/>
      <x:c r="I5" s="5">
        <x:f>COUNTIF('Proof Summary'!$R$5:$R$14,"Accepted")</x:f>
        <x:v>3</x:v>
      </x:c>
      <x:c r="J5" s="6" t="n"/>
    </x:row>
    <x:row r="6">
      <x:c r="A6" s="6" t="n"/>
      <x:c r="B6" s="6" t="n"/>
      <x:c r="C6" s="6" t="n"/>
      <x:c r="D6" s="6" t="n"/>
      <x:c r="E6" s="6" t="n"/>
      <x:c r="F6" s="6" t="n"/>
      <x:c r="G6" s="6" t="n"/>
      <x:c r="H6" s="6" t="n"/>
      <x:c r="I6" s="6" t="n"/>
      <x:c r="J6" s="6" t="n"/>
    </x:row>
    <x:row r="8">
      <x:c r="A8" s="3" t="inlineStr">
        <x:is>
          <x:t xml:space="preserve">Proofs with no rejected step</x:t>
        </x:is>
      </x:c>
      <x:c r="B8" s="4" t="n"/>
      <x:c r="C8" s="3" t="inlineStr">
        <x:is>
          <x:t xml:space="preserve">Fully goal-complete proofs</x:t>
        </x:is>
      </x:c>
      <x:c r="D8" s="4" t="n"/>
      <x:c r="E8" s="3" t="inlineStr">
        <x:is>
          <x:t xml:space="preserve">Fully robust proofs</x:t>
        </x:is>
      </x:c>
      <x:c r="F8" s="4" t="n"/>
      <x:c r="G8" s="3" t="inlineStr">
        <x:is>
          <x:t xml:space="preserve">Agent-rejected routes</x:t>
        </x:is>
      </x:c>
      <x:c r="H8" s="4" t="n"/>
      <x:c r="I8" s="3" t="inlineStr">
        <x:is>
          <x:t xml:space="preserve">Audit-rejected routes</x:t>
        </x:is>
      </x:c>
      <x:c r="J8" s="4" t="n"/>
    </x:row>
    <x:row r="9">
      <x:c r="A9" s="5">
        <x:f>COUNTIF('Proof Summary'!$N$5:$N$14,"Yes")</x:f>
        <x:v>7</x:v>
      </x:c>
      <x:c r="B9" s="6" t="n"/>
      <x:c r="C9" s="5">
        <x:f>COUNTIF('Proof Summary'!$P$5:$P$14,"Yes")</x:f>
        <x:v>3</x:v>
      </x:c>
      <x:c r="D9" s="6" t="n"/>
      <x:c r="E9" s="5">
        <x:f>COUNTIF('Proof Summary'!$Q$5:$Q$14,"Yes")</x:f>
        <x:v>4</x:v>
      </x:c>
      <x:c r="F9" s="6" t="n"/>
      <x:c r="G9" s="5">
        <x:f>COUNTIFS('Tactic Data'!$J$5:$J$500,"Rejected",'Tactic Data'!$L$5:$L$500,"Agent")</x:f>
        <x:v>4</x:v>
      </x:c>
      <x:c r="H9" s="6" t="n"/>
      <x:c r="I9" s="5">
        <x:f>COUNTIFS('Tactic Data'!$J$5:$J$500,"Rejected",'Tactic Data'!$L$5:$L$500,"Audit")</x:f>
        <x:v>2</x:v>
      </x:c>
      <x:c r="J9" s="6" t="n"/>
    </x:row>
    <x:row r="10">
      <x:c r="A10" s="6" t="n"/>
      <x:c r="B10" s="6" t="n"/>
      <x:c r="C10" s="6" t="n"/>
      <x:c r="D10" s="6" t="n"/>
      <x:c r="E10" s="6" t="n"/>
      <x:c r="F10" s="6" t="n"/>
      <x:c r="G10" s="6" t="n"/>
      <x:c r="H10" s="6" t="n"/>
      <x:c r="I10" s="6" t="n"/>
      <x:c r="J10" s="6" t="n"/>
    </x:row>
    <x:row r="12">
      <x:c r="A12" s="7" t="inlineStr">
        <x:is>
          <x:t xml:space="preserve">Novelty classification</x:t>
        </x:is>
      </x:c>
      <x:c r="B12" s="7" t="n"/>
      <x:c r="C12" s="7" t="n"/>
      <x:c r="D12" s="7" t="n"/>
      <x:c r="E12" s="7" t="n"/>
      <x:c r="F12" s="7" t="n"/>
      <x:c r="G12" s="7" t="n"/>
      <x:c r="H12" s="7" t="n"/>
      <x:c r="I12" s="7" t="n"/>
      <x:c r="J12" s="7" t="n"/>
    </x:row>
    <x:row r="13" ht="30" customHeight="1">
      <x:c r="A13" s="8" t="inlineStr">
        <x:is>
          <x:t xml:space="preserve">Run setting</x:t>
        </x:is>
      </x:c>
      <x:c r="B13" s="9" t="inlineStr">
        <x:is>
          <x:t xml:space="preserve">A fully open-source language model produced the proof search record locally on commodity hardware with no human steering during the 8-hour run.</x:t>
        </x:is>
      </x:c>
      <x:c r="C13" s="10" t="n"/>
      <x:c r="D13" s="10" t="n"/>
      <x:c r="E13" s="10" t="n"/>
      <x:c r="F13" s="10" t="n"/>
      <x:c r="G13" s="10" t="n"/>
      <x:c r="H13" s="10" t="n"/>
      <x:c r="I13" s="10" t="n"/>
      <x:c r="J13" s="10" t="n"/>
    </x:row>
    <x:row r="14" ht="30" customHeight="1">
      <x:c r="A14" s="8" t="inlineStr">
        <x:is>
          <x:t xml:space="preserve">Measurement design</x:t>
        </x:is>
      </x:c>
      <x:c r="B14" s="9" t="inlineStr">
        <x:is>
          <x:t xml:space="preserve">The same four step-level gates were tracked during discovery and then re-used in post-hoc audit. That makes the pilot a closed-loop inquiry record rather than a final-answer benchmark.</x:t>
        </x:is>
      </x:c>
      <x:c r="C14" s="10" t="n"/>
      <x:c r="D14" s="10" t="n"/>
      <x:c r="E14" s="10" t="n"/>
      <x:c r="F14" s="10" t="n"/>
      <x:c r="G14" s="10" t="n"/>
      <x:c r="H14" s="10" t="n"/>
      <x:c r="I14" s="10" t="n"/>
      <x:c r="J14" s="10" t="n"/>
    </x:row>
    <x:row r="15" ht="30" customHeight="1">
      <x:c r="A15" s="8" t="inlineStr">
        <x:is>
          <x:t xml:space="preserve">Dataset design</x:t>
        </x:is>
      </x:c>
      <x:c r="B15" s="9" t="inlineStr">
        <x:is>
          <x:t xml:space="preserve">The workbook preserves both positive steps and negative search output — invalid routes, deferred mechanisms, and explicit open bridges — instead of collapsing everything into one final score.</x:t>
        </x:is>
      </x:c>
      <x:c r="C15" s="10" t="n"/>
      <x:c r="D15" s="10" t="n"/>
      <x:c r="E15" s="10" t="n"/>
      <x:c r="F15" s="10" t="n"/>
      <x:c r="G15" s="10" t="n"/>
      <x:c r="H15" s="10" t="n"/>
      <x:c r="I15" s="10" t="n"/>
      <x:c r="J15" s="10" t="n"/>
    </x:row>
    <x:row r="16" ht="30" customHeight="1">
      <x:c r="A16" s="8" t="inlineStr">
        <x:is>
          <x:t xml:space="preserve">Scientific signal</x:t>
        </x:is>
      </x:c>
      <x:c r="B16" s="9" t="inlineStr">
        <x:is>
          <x:t xml:space="preserve">The near-ceiling rates on assumption compliance and inference validity, contrasted with much lower generalization robustness, sharply identify transfer rather than local derivation as the main bottleneck.</x:t>
        </x:is>
      </x:c>
      <x:c r="C16" s="10" t="n"/>
      <x:c r="D16" s="10" t="n"/>
      <x:c r="E16" s="10" t="n"/>
      <x:c r="F16" s="10" t="n"/>
      <x:c r="G16" s="10" t="n"/>
      <x:c r="H16" s="10" t="n"/>
      <x:c r="I16" s="10" t="n"/>
      <x:c r="J16" s="10" t="n"/>
    </x:row>
    <x:row r="18">
      <x:c r="A18" s="7" t="inlineStr">
        <x:is>
          <x:t xml:space="preserve">Value and read of the pilot</x:t>
        </x:is>
      </x:c>
      <x:c r="B18" s="7" t="n"/>
      <x:c r="C18" s="7" t="n"/>
      <x:c r="D18" s="7" t="n"/>
      <x:c r="E18" s="7" t="n"/>
      <x:c r="F18" s="7" t="n"/>
      <x:c r="G18" s="7" t="n"/>
      <x:c r="H18" s="7" t="n"/>
      <x:c r="I18" s="7" t="n"/>
      <x:c r="J18" s="7" t="n"/>
    </x:row>
    <x:row r="19" ht="30" customHeight="1">
      <x:c r="A19" s="8" t="inlineStr">
        <x:is>
          <x:t xml:space="preserve">Why it matters</x:t>
        </x:is>
      </x:c>
      <x:c r="B19" s="9" t="inlineStr">
        <x:is>
          <x:t xml:space="preserve">This pilot shows that a local open-source model can produce auditable proof-search structure, not just candidate final answers. It also produces reusable negative evidence for future training and evaluation.</x:t>
        </x:is>
      </x:c>
      <x:c r="C19" s="10" t="n"/>
      <x:c r="D19" s="10" t="n"/>
      <x:c r="E19" s="10" t="n"/>
      <x:c r="F19" s="10" t="n"/>
      <x:c r="G19" s="10" t="n"/>
      <x:c r="H19" s="10" t="n"/>
      <x:c r="I19" s="10" t="n"/>
      <x:c r="J19" s="10" t="n"/>
    </x:row>
    <x:row r="20" ht="30" customHeight="1">
      <x:c r="A20" s="8" t="inlineStr">
        <x:is>
          <x:t xml:space="preserve">Primary empirical read</x:t>
        </x:is>
      </x:c>
      <x:c r="B20" s="9" t="inlineStr">
        <x:is>
          <x:t xml:space="preserve">Outright logical breakdown is rare. Most losses come later, when a locally valid step fails to transport from a special or conditional setting to the full target.</x:t>
        </x:is>
      </x:c>
      <x:c r="C20" s="10" t="n"/>
      <x:c r="D20" s="10" t="n"/>
      <x:c r="E20" s="10" t="n"/>
      <x:c r="F20" s="10" t="n"/>
      <x:c r="G20" s="10" t="n"/>
      <x:c r="H20" s="10" t="n"/>
      <x:c r="I20" s="10" t="n"/>
      <x:c r="J20" s="10" t="n"/>
    </x:row>
    <x:row r="21" ht="30" customHeight="1">
      <x:c r="A21" s="8" t="inlineStr">
        <x:is>
          <x:t xml:space="preserve">Secondary empirical read</x:t>
        </x:is>
      </x:c>
      <x:c r="B21" s="9" t="inlineStr">
        <x:is>
          <x:t xml:space="preserve">Correct rejection is productive. Four rejected routes were screened out by the model itself, meaning the search generated durable boundary information rather than only failed attempts.</x:t>
        </x:is>
      </x:c>
      <x:c r="C21" s="10" t="n"/>
      <x:c r="D21" s="10" t="n"/>
      <x:c r="E21" s="10" t="n"/>
      <x:c r="F21" s="10" t="n"/>
      <x:c r="G21" s="10" t="n"/>
      <x:c r="H21" s="10" t="n"/>
      <x:c r="I21" s="10" t="n"/>
      <x:c r="J21" s="10" t="n"/>
    </x:row>
    <x:row r="22" ht="45" customHeight="1">
      <x:c r="A22" s="8" t="inlineStr">
        <x:is>
          <x:t xml:space="preserve">Theory generated here</x:t>
        </x:is>
      </x:c>
      <x:c r="B22" s="9" t="inlineStr">
        <x:is>
          <x:t xml:space="preserve">The pilot supports a simple working theory: complete proofs emerge when branch width collapses, late moves become forced, and the remaining step sequence is dominated by robust structural lemmas rather than local wins.</x:t>
        </x:is>
      </x:c>
      <x:c r="C22" s="10" t="n"/>
      <x:c r="D22" s="10" t="n"/>
      <x:c r="E22" s="10" t="n"/>
      <x:c r="F22" s="10" t="n"/>
      <x:c r="G22" s="10" t="n"/>
      <x:c r="H22" s="10" t="n"/>
      <x:c r="I22" s="10" t="n"/>
      <x:c r="J22" s="10" t="n"/>
    </x:row>
    <x:row r="24">
      <x:c r="A24" s="7" t="inlineStr">
        <x:is>
          <x:t xml:space="preserve">Metric dictionary</x:t>
        </x:is>
      </x:c>
      <x:c r="B24" s="7" t="n"/>
      <x:c r="C24" s="7" t="n"/>
      <x:c r="D24" s="7" t="n"/>
      <x:c r="E24" s="7" t="n"/>
      <x:c r="F24" s="7" t="n"/>
      <x:c r="G24" s="7" t="n"/>
      <x:c r="H24" s="7" t="n"/>
      <x:c r="I24" s="7" t="n"/>
      <x:c r="J24" s="7" t="n"/>
    </x:row>
    <x:row r="25" ht="30" customHeight="1">
      <x:c r="A25" s="8" t="inlineStr">
        <x:is>
          <x:t xml:space="preserve">Assumption compliance</x:t>
        </x:is>
      </x:c>
      <x:c r="B25" s="9" t="inlineStr">
        <x:is>
          <x:t xml:space="preserve">The step stays within the stated assumptions and target setting.</x:t>
        </x:is>
      </x:c>
      <x:c r="C25" s="10" t="n"/>
      <x:c r="D25" s="10" t="n"/>
      <x:c r="E25" s="10" t="n"/>
      <x:c r="F25" s="10" t="n"/>
      <x:c r="G25" s="10" t="n"/>
      <x:c r="H25" s="10" t="n"/>
      <x:c r="I25" s="10" t="n"/>
      <x:c r="J25" s="10" t="n"/>
    </x:row>
    <x:row r="26" ht="30" customHeight="1">
      <x:c r="A26" s="8" t="inlineStr">
        <x:is>
          <x:t xml:space="preserve">Inference validity</x:t>
        </x:is>
      </x:c>
      <x:c r="B26" s="9" t="inlineStr">
        <x:is>
          <x:t xml:space="preserve">The mathematics of the step is correct as written.</x:t>
        </x:is>
      </x:c>
      <x:c r="C26" s="10" t="n"/>
      <x:c r="D26" s="10" t="n"/>
      <x:c r="E26" s="10" t="n"/>
      <x:c r="F26" s="10" t="n"/>
      <x:c r="G26" s="10" t="n"/>
      <x:c r="H26" s="10" t="n"/>
      <x:c r="I26" s="10" t="n"/>
      <x:c r="J26" s="10" t="n"/>
    </x:row>
    <x:row r="27" ht="18" customHeight="1">
      <x:c r="A27" s="8" t="inlineStr">
        <x:is>
          <x:t xml:space="preserve">Goal completion</x:t>
        </x:is>
      </x:c>
      <x:c r="B27" s="9" t="inlineStr">
        <x:is>
          <x:t xml:space="preserve">The local objective of the step is actually achieved, not merely sketched or assumed.</x:t>
        </x:is>
      </x:c>
      <x:c r="C27" s="10" t="n"/>
      <x:c r="D27" s="10" t="n"/>
      <x:c r="E27" s="10" t="n"/>
      <x:c r="F27" s="10" t="n"/>
      <x:c r="G27" s="10" t="n"/>
      <x:c r="H27" s="10" t="n"/>
      <x:c r="I27" s="10" t="n"/>
      <x:c r="J27" s="10" t="n"/>
    </x:row>
    <x:row r="28" ht="30" customHeight="1">
      <x:c r="A28" s="8" t="inlineStr">
        <x:is>
          <x:t xml:space="preserve">Generalization robustness</x:t>
        </x:is>
      </x:c>
      <x:c r="B28" s="9" t="inlineStr">
        <x:is>
          <x:t xml:space="preserve">The step remains useful when the argument is expanded from a local or special case to the full target.</x:t>
        </x:is>
      </x:c>
      <x:c r="C28" s="10" t="n"/>
      <x:c r="D28" s="10" t="n"/>
      <x:c r="E28" s="10" t="n"/>
      <x:c r="F28" s="10" t="n"/>
      <x:c r="G28" s="10" t="n"/>
      <x:c r="H28" s="10" t="n"/>
      <x:c r="I28" s="10" t="n"/>
      <x:c r="J28" s="10" t="n"/>
    </x:row>
    <x:row r="29" ht="45" customHeight="1">
      <x:c r="A29" s="8" t="inlineStr">
        <x:is>
          <x:t xml:space="preserve">Verdicts</x:t>
        </x:is>
      </x:c>
      <x:c r="B29" s="9" t="inlineStr">
        <x:is>
          <x:t xml:space="preserve">Accepted = valid and goal-complete at the claimed scope. Partial = promising but unresolved. Rejected = ruled out. Deferred = plausible but insufficiently developed. Open = explicit unresolved bridge or conjecture. Mixed = algorithmic core accepted while one theoretical dependency stays partial.</x:t>
        </x:is>
      </x:c>
      <x:c r="C29" s="10" t="n"/>
      <x:c r="D29" s="10" t="n"/>
      <x:c r="E29" s="10" t="n"/>
      <x:c r="F29" s="10" t="n"/>
      <x:c r="G29" s="10" t="n"/>
      <x:c r="H29" s="10" t="n"/>
      <x:c r="I29" s="10" t="n"/>
      <x:c r="J29" s="10" t="n"/>
    </x:row>
    <x:row r="31">
      <x:c r="A31" s="7" t="inlineStr">
        <x:is>
          <x:t xml:space="preserve">Workbook guide</x:t>
        </x:is>
      </x:c>
      <x:c r="B31" s="7" t="n"/>
      <x:c r="C31" s="7" t="n"/>
      <x:c r="D31" s="7" t="n"/>
      <x:c r="E31" s="7" t="n"/>
      <x:c r="F31" s="7" t="n"/>
      <x:c r="G31" s="7" t="n"/>
      <x:c r="H31" s="7" t="n"/>
      <x:c r="I31" s="7" t="n"/>
      <x:c r="J31" s="7" t="n"/>
    </x:row>
    <x:row r="32" ht="30" customHeight="1">
      <x:c r="A32" s="8" t="inlineStr">
        <x:is>
          <x:t xml:space="preserve">Tactic Data</x:t>
        </x:is>
      </x:c>
      <x:c r="B32" s="9" t="inlineStr">
        <x:is>
          <x:t xml:space="preserve">The full 85-step audited dataset with public metric names, derived search-role labels, and cleaned review notes.</x:t>
        </x:is>
      </x:c>
      <x:c r="C32" s="10" t="n"/>
      <x:c r="D32" s="10" t="n"/>
      <x:c r="E32" s="10" t="n"/>
      <x:c r="F32" s="10" t="n"/>
      <x:c r="G32" s="10" t="n"/>
      <x:c r="H32" s="10" t="n"/>
      <x:c r="I32" s="10" t="n"/>
      <x:c r="J32" s="10" t="n"/>
    </x:row>
    <x:row r="33" ht="18" customHeight="1">
      <x:c r="A33" s="8" t="inlineStr">
        <x:is>
          <x:t xml:space="preserve">Proof Summary</x:t>
        </x:is>
      </x:c>
      <x:c r="B33" s="9" t="inlineStr">
        <x:is>
          <x:t xml:space="preserve">Formula-driven proof-level rollups by problem, including per-metric rates and overall outcome labels.</x:t>
        </x:is>
      </x:c>
      <x:c r="C33" s="10" t="n"/>
      <x:c r="D33" s="10" t="n"/>
      <x:c r="E33" s="10" t="n"/>
      <x:c r="F33" s="10" t="n"/>
      <x:c r="G33" s="10" t="n"/>
      <x:c r="H33" s="10" t="n"/>
      <x:c r="I33" s="10" t="n"/>
      <x:c r="J33" s="10" t="n"/>
    </x:row>
    <x:row r="34" ht="30" customHeight="1">
      <x:c r="A34" s="8" t="inlineStr">
        <x:is>
          <x:t xml:space="preserve">Aggregate Metrics</x:t>
        </x:is>
      </x:c>
      <x:c r="B34" s="9" t="inlineStr">
        <x:is>
          <x:t xml:space="preserve">Stable workbook formulas for verdict counts, proof-level counts, search-role distribution, and the key empirical gap between local validity and transport.</x:t>
        </x:is>
      </x:c>
      <x:c r="C34" s="10" t="n"/>
      <x:c r="D34" s="10" t="n"/>
      <x:c r="E34" s="10" t="n"/>
      <x:c r="F34" s="10" t="n"/>
      <x:c r="G34" s="10" t="n"/>
      <x:c r="H34" s="10" t="n"/>
      <x:c r="I34" s="10" t="n"/>
      <x:c r="J34" s="10" t="n"/>
    </x:row>
    <x:row r="35" ht="30" customHeight="1">
      <x:c r="A35" s="8" t="inlineStr">
        <x:is>
          <x:t xml:space="preserve">Process Traces and Patterns</x:t>
        </x:is>
      </x:c>
      <x:c r="B35" s="9" t="inlineStr">
        <x:is>
          <x:t xml:space="preserve">Curated high-leverage steps and cross-problem patterns that extract theory from the pilot without using private vocabulary.</x:t>
        </x:is>
      </x:c>
      <x:c r="C35" s="10" t="n"/>
      <x:c r="D35" s="10" t="n"/>
      <x:c r="E35" s="10" t="n"/>
      <x:c r="F35" s="10" t="n"/>
      <x:c r="G35" s="10" t="n"/>
      <x:c r="H35" s="10" t="n"/>
      <x:c r="I35" s="10" t="n"/>
      <x:c r="J35" s="10" t="n"/>
    </x:row>
  </x:sheetData>
  <x:mergeCells>
    <x:mergeCell ref="B14:J14"/>
    <x:mergeCell ref="A5:B6"/>
    <x:mergeCell ref="G5:H6"/>
    <x:mergeCell ref="I5:J6"/>
    <x:mergeCell ref="G8:H8"/>
    <x:mergeCell ref="B13:J13"/>
    <x:mergeCell ref="E8:F8"/>
    <x:mergeCell ref="C4:D4"/>
    <x:mergeCell ref="B29:J29"/>
    <x:mergeCell ref="E4:F4"/>
    <x:mergeCell ref="B19:J19"/>
    <x:mergeCell ref="A31:J31"/>
    <x:mergeCell ref="B34:J34"/>
    <x:mergeCell ref="B28:J28"/>
    <x:mergeCell ref="B21:J21"/>
    <x:mergeCell ref="A24:J24"/>
    <x:mergeCell ref="A9:B10"/>
    <x:mergeCell ref="G9:H10"/>
    <x:mergeCell ref="I9:J10"/>
    <x:mergeCell ref="B15:J15"/>
    <x:mergeCell ref="B33:J33"/>
    <x:mergeCell ref="A1:J1"/>
    <x:mergeCell ref="B20:J20"/>
    <x:mergeCell ref="B32:J32"/>
    <x:mergeCell ref="C5:D6"/>
    <x:mergeCell ref="B26:J26"/>
    <x:mergeCell ref="E5:F6"/>
    <x:mergeCell ref="B35:J35"/>
    <x:mergeCell ref="I8:J8"/>
    <x:mergeCell ref="A8:B8"/>
    <x:mergeCell ref="C8:D8"/>
    <x:mergeCell ref="B16:J16"/>
    <x:mergeCell ref="A4:B4"/>
    <x:mergeCell ref="G4:H4"/>
    <x:mergeCell ref="B25:J25"/>
    <x:mergeCell ref="I4:J4"/>
    <x:mergeCell ref="A18:J18"/>
    <x:mergeCell ref="B22:J22"/>
    <x:mergeCell ref="A12:J12"/>
    <x:mergeCell ref="B27:J27"/>
    <x:mergeCell ref="A2:J2"/>
    <x:mergeCell ref="C9:D10"/>
    <x:mergeCell ref="E9:F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32" customWidth="1"/>
    <x:col min="3" max="3" width="30" customWidth="1"/>
    <x:col min="4" max="4" width="10" customWidth="1"/>
    <x:col min="5" max="5" width="34" customWidth="1"/>
    <x:col min="6" max="6" width="14" customWidth="1"/>
    <x:col min="7" max="7" width="14" customWidth="1"/>
    <x:col min="8" max="8" width="14" customWidth="1"/>
    <x:col min="9" max="9" width="18" customWidth="1"/>
    <x:col min="10" max="10" width="12" customWidth="1"/>
    <x:col min="11" max="11" width="18" customWidth="1"/>
    <x:col min="12" max="12" width="16" customWidth="1"/>
    <x:col min="13" max="13" width="68" customWidth="1"/>
  </x:cols>
  <x:sheetData>
    <x:row r="1">
      <x:c r="A1" s="1" t="inlineStr">
        <x:is>
          <x:t xml:space="preserve">Tactic Data</x:t>
        </x:is>
      </x:c>
    </x:row>
    <x:row r="2">
      <x:c r="A2" s="2" t="inlineStr">
        <x:is>
          <x:t xml:space="preserve">Binary step metrics use 1 = passes and 0 = fails. Search role is a public derived label for aggregation and process analysis.</x:t>
        </x:is>
      </x:c>
    </x:row>
    <x:row r="3">
      <x:c r="A3" s="8" t="inlineStr">
        <x:is>
          <x:t xml:space="preserve">Metric renaming: Assumption compliance | Inference validity | Goal completion | Generalization robustness.</x:t>
        </x:is>
      </x:c>
    </x:row>
    <x:row r="4" ht="24" customHeight="1">
      <x:c r="A4" s="3" t="inlineStr">
        <x:is>
          <x:t xml:space="preserve">Problem ID</x:t>
        </x:is>
      </x:c>
      <x:c r="B4" s="3" t="inlineStr">
        <x:is>
          <x:t xml:space="preserve">Problem Title</x:t>
        </x:is>
      </x:c>
      <x:c r="C4" s="3" t="inlineStr">
        <x:is>
          <x:t xml:space="preserve">Area</x:t>
        </x:is>
      </x:c>
      <x:c r="D4" s="3" t="inlineStr">
        <x:is>
          <x:t xml:space="preserve">Step ID</x:t>
        </x:is>
      </x:c>
      <x:c r="E4" s="3" t="inlineStr">
        <x:is>
          <x:t xml:space="preserve">Step Summary</x:t>
        </x:is>
      </x:c>
      <x:c r="F4" s="3" t="inlineStr">
        <x:is>
          <x:t xml:space="preserve">Assumption Compliance</x:t>
        </x:is>
      </x:c>
      <x:c r="G4" s="3" t="inlineStr">
        <x:is>
          <x:t xml:space="preserve">Inference Validity</x:t>
        </x:is>
      </x:c>
      <x:c r="H4" s="3" t="inlineStr">
        <x:is>
          <x:t xml:space="preserve">Goal Completion</x:t>
        </x:is>
      </x:c>
      <x:c r="I4" s="3" t="inlineStr">
        <x:is>
          <x:t xml:space="preserve">Generalization Robustness</x:t>
        </x:is>
      </x:c>
      <x:c r="J4" s="3" t="inlineStr">
        <x:is>
          <x:t xml:space="preserve">Verdict</x:t>
        </x:is>
      </x:c>
      <x:c r="K4" s="3" t="inlineStr">
        <x:is>
          <x:t xml:space="preserve">Search Role</x:t>
        </x:is>
      </x:c>
      <x:c r="L4" s="3" t="inlineStr">
        <x:is>
          <x:t xml:space="preserve">Rejection Source</x:t>
        </x:is>
      </x:c>
      <x:c r="M4" s="3" t="inlineStr">
        <x:is>
          <x:t xml:space="preserve">Review Note</x:t>
        </x:is>
      </x:c>
    </x:row>
    <x:row r="5" ht="120" customHeight="1">
      <x:c r="A5" s="11" t="n">
        <x:v>1</x:v>
      </x:c>
      <x:c r="B5" s="12" t="inlineStr">
        <x:is>
          <x:t xml:space="preserve">Phi^4_3 measure singularity</x:t>
        </x:is>
      </x:c>
      <x:c r="C5" s="12" t="inlineStr">
        <x:is>
          <x:t xml:space="preserve">Quantum field theory</x:t>
        </x:is>
      </x:c>
      <x:c r="D5" s="11" t="inlineStr">
        <x:is>
          <x:t xml:space="preserve">T1</x:t>
        </x:is>
      </x:c>
      <x:c r="E5" s="12" t="inlineStr">
        <x:is>
          <x:t xml:space="preserve">Contradiction via quasi-invariance</x:t>
        </x:is>
      </x:c>
      <x:c r="F5" s="13" t="n">
        <x:v>1</x:v>
      </x:c>
      <x:c r="G5" s="13" t="n">
        <x:v>1</x:v>
      </x:c>
      <x:c r="H5" s="13" t="n">
        <x:v>1</x:v>
      </x:c>
      <x:c r="I5" s="13" t="n">
        <x:v>1</x:v>
      </x:c>
      <x:c r="J5" s="14" t="inlineStr">
        <x:is>
          <x:t xml:space="preserve">Accepted</x:t>
        </x:is>
      </x:c>
      <x:c r="K5" s="11" t="str">
        <x:f>IF(J5="Accepted",IF(I5=1,"Resolve","Local-only win"),IF(J5="Rejected",IF(G5=0,"Invalid inference","Eliminate route"),IF(J5="Partial","Refine gap",IF(J5="Deferred","Undeveloped route","Open bridge"))))</x:f>
        <x:v>Resolve</x:v>
      </x:c>
      <x:c r="L5" s="11" t="inlineStr">
        <x:is>
          <x:t xml:space="preserve"/>
        </x:is>
      </x:c>
      <x:c r="M5" s="12" t="inlineStr">
        <x:is>
          <x:t xml:space="preserve">Moderate caveat: quasi-invariance alone does not imply differentiability. The route can be rescued by strengthening the hypothesis or working in a finite-dimensional approximation.</x:t>
        </x:is>
      </x:c>
    </x:row>
    <x:row r="6" ht="120" customHeight="1">
      <x:c r="A6" s="15" t="n">
        <x:v>1</x:v>
      </x:c>
      <x:c r="B6" s="9" t="inlineStr">
        <x:is>
          <x:t xml:space="preserve">Phi^4_3 measure singularity</x:t>
        </x:is>
      </x:c>
      <x:c r="C6" s="9" t="inlineStr">
        <x:is>
          <x:t xml:space="preserve">Quantum field theory</x:t>
        </x:is>
      </x:c>
      <x:c r="D6" s="15" t="inlineStr">
        <x:is>
          <x:t xml:space="preserve">T2</x:t>
        </x:is>
      </x:c>
      <x:c r="E6" s="9" t="inlineStr">
        <x:is>
          <x:t xml:space="preserve">Finite-dim Fourier projection μN</x:t>
        </x:is>
      </x:c>
      <x:c r="F6" s="16" t="n">
        <x:v>1</x:v>
      </x:c>
      <x:c r="G6" s="16" t="n">
        <x:v>1</x:v>
      </x:c>
      <x:c r="H6" s="16" t="n">
        <x:v>1</x:v>
      </x:c>
      <x:c r="I6" s="16" t="n">
        <x:v>1</x:v>
      </x:c>
      <x:c r="J6" s="17" t="inlineStr">
        <x:is>
          <x:t xml:space="preserve">Accepted</x:t>
        </x:is>
      </x:c>
      <x:c r="K6" s="15" t="str">
        <x:f>IF(J6="Accepted",IF(I6=1,"Resolve","Local-only win"),IF(J6="Rejected",IF(G6=0,"Invalid inference","Eliminate route"),IF(J6="Partial","Refine gap",IF(J6="Deferred","Undeveloped route","Open bridge"))))</x:f>
        <x:v>Resolve</x:v>
      </x:c>
      <x:c r="L6" s="15" t="inlineStr">
        <x:is>
          <x:t xml:space="preserve"/>
        </x:is>
      </x:c>
      <x:c r="M6" s="9" t="inlineStr">
        <x:is>
          <x:t xml:space="preserve">Clean.</x:t>
        </x:is>
      </x:c>
    </x:row>
    <x:row r="7" ht="120" customHeight="1">
      <x:c r="A7" s="15" t="n">
        <x:v>1</x:v>
      </x:c>
      <x:c r="B7" s="9" t="inlineStr">
        <x:is>
          <x:t xml:space="preserve">Phi^4_3 measure singularity</x:t>
        </x:is>
      </x:c>
      <x:c r="C7" s="9" t="inlineStr">
        <x:is>
          <x:t xml:space="preserve">Quantum field theory</x:t>
        </x:is>
      </x:c>
      <x:c r="D7" s="15" t="inlineStr">
        <x:is>
          <x:t xml:space="preserve">T3</x:t>
        </x:is>
      </x:c>
      <x:c r="E7" s="9" t="inlineStr">
        <x:is>
          <x:t xml:space="preserve">Wick theorem for Gaussian variance</x:t>
        </x:is>
      </x:c>
      <x:c r="F7" s="16" t="n">
        <x:v>1</x:v>
      </x:c>
      <x:c r="G7" s="16" t="n">
        <x:v>1</x:v>
      </x:c>
      <x:c r="H7" s="16" t="n">
        <x:v>1</x:v>
      </x:c>
      <x:c r="I7" s="16" t="n">
        <x:v>1</x:v>
      </x:c>
      <x:c r="J7" s="17" t="inlineStr">
        <x:is>
          <x:t xml:space="preserve">Accepted</x:t>
        </x:is>
      </x:c>
      <x:c r="K7" s="15" t="str">
        <x:f>IF(J7="Accepted",IF(I7=1,"Resolve","Local-only win"),IF(J7="Rejected",IF(G7=0,"Invalid inference","Eliminate route"),IF(J7="Partial","Refine gap",IF(J7="Deferred","Undeveloped route","Open bridge"))))</x:f>
        <x:v>Resolve</x:v>
      </x:c>
      <x:c r="L7" s="15" t="inlineStr">
        <x:is>
          <x:t xml:space="preserve"/>
        </x:is>
      </x:c>
      <x:c r="M7" s="9" t="inlineStr">
        <x:is>
          <x:t xml:space="preserve">Clean. The combinatorial factor is correct.</x:t>
        </x:is>
      </x:c>
    </x:row>
    <x:row r="8" ht="120" customHeight="1">
      <x:c r="A8" s="15" t="n">
        <x:v>1</x:v>
      </x:c>
      <x:c r="B8" s="9" t="inlineStr">
        <x:is>
          <x:t xml:space="preserve">Phi^4_3 measure singularity</x:t>
        </x:is>
      </x:c>
      <x:c r="C8" s="9" t="inlineStr">
        <x:is>
          <x:t xml:space="preserve">Quantum field theory</x:t>
        </x:is>
      </x:c>
      <x:c r="D8" s="15" t="inlineStr">
        <x:is>
          <x:t xml:space="preserve">T4</x:t>
        </x:is>
      </x:c>
      <x:c r="E8" s="9" t="inlineStr">
        <x:is>
          <x:t xml:space="preserve">Short-distance singularity → ln(N)</x:t>
        </x:is>
      </x:c>
      <x:c r="F8" s="16" t="n">
        <x:v>1</x:v>
      </x:c>
      <x:c r="G8" s="16" t="n">
        <x:v>1</x:v>
      </x:c>
      <x:c r="H8" s="16" t="n">
        <x:v>1</x:v>
      </x:c>
      <x:c r="I8" s="16" t="n">
        <x:v>1</x:v>
      </x:c>
      <x:c r="J8" s="17" t="inlineStr">
        <x:is>
          <x:t xml:space="preserve">Accepted</x:t>
        </x:is>
      </x:c>
      <x:c r="K8" s="15" t="str">
        <x:f>IF(J8="Accepted",IF(I8=1,"Resolve","Local-only win"),IF(J8="Rejected",IF(G8=0,"Invalid inference","Eliminate route"),IF(J8="Partial","Refine gap",IF(J8="Deferred","Undeveloped route","Open bridge"))))</x:f>
        <x:v>Resolve</x:v>
      </x:c>
      <x:c r="L8" s="15" t="inlineStr">
        <x:is>
          <x:t xml:space="preserve"/>
        </x:is>
      </x:c>
      <x:c r="M8" s="9" t="inlineStr">
        <x:is>
          <x:t xml:space="preserve">Clean. Verified.</x:t>
        </x:is>
      </x:c>
    </x:row>
    <x:row r="9" ht="120" customHeight="1">
      <x:c r="A9" s="15" t="n">
        <x:v>1</x:v>
      </x:c>
      <x:c r="B9" s="9" t="inlineStr">
        <x:is>
          <x:t xml:space="preserve">Phi^4_3 measure singularity</x:t>
        </x:is>
      </x:c>
      <x:c r="C9" s="9" t="inlineStr">
        <x:is>
          <x:t xml:space="preserve">Quantum field theory</x:t>
        </x:is>
      </x:c>
      <x:c r="D9" s="15" t="inlineStr">
        <x:is>
          <x:t xml:space="preserve">T5</x:t>
        </x:is>
      </x:c>
      <x:c r="E9" s="9" t="inlineStr">
        <x:is>
          <x:t xml:space="preserve">Inverse Density Argument</x:t>
        </x:is>
      </x:c>
      <x:c r="F9" s="16" t="n">
        <x:v>1</x:v>
      </x:c>
      <x:c r="G9" s="16" t="n">
        <x:v>1</x:v>
      </x:c>
      <x:c r="H9" s="18" t="n">
        <x:v>0</x:v>
      </x:c>
      <x:c r="I9" s="16" t="n">
        <x:v>1</x:v>
      </x:c>
      <x:c r="J9" s="19" t="inlineStr">
        <x:is>
          <x:t xml:space="preserve">Partial</x:t>
        </x:is>
      </x:c>
      <x:c r="K9" s="15" t="str">
        <x:f>IF(J9="Accepted",IF(I9=1,"Resolve","Local-only win"),IF(J9="Rejected",IF(G9=0,"Invalid inference","Eliminate route"),IF(J9="Partial","Refine gap",IF(J9="Deferred","Undeveloped route","Open bridge"))))</x:f>
        <x:v>Refine gap</x:v>
      </x:c>
      <x:c r="L9" s="15" t="inlineStr">
        <x:is>
          <x:t xml:space="preserve"/>
        </x:is>
      </x:c>
      <x:c r="M9" s="9" t="inlineStr">
        <x:is>
          <x:t xml:space="preserve">The Cauchy-Schwarz bridge is algebraically valid, but the required negative-moment bound is not established. The step therefore remains conditional.</x:t>
        </x:is>
      </x:c>
    </x:row>
    <x:row r="10" ht="120" customHeight="1">
      <x:c r="A10" s="15" t="n">
        <x:v>1</x:v>
      </x:c>
      <x:c r="B10" s="9" t="inlineStr">
        <x:is>
          <x:t xml:space="preserve">Phi^4_3 measure singularity</x:t>
        </x:is>
      </x:c>
      <x:c r="C10" s="9" t="inlineStr">
        <x:is>
          <x:t xml:space="preserve">Quantum field theory</x:t>
        </x:is>
      </x:c>
      <x:c r="D10" s="15" t="inlineStr">
        <x:is>
          <x:t xml:space="preserve">T6</x:t>
        </x:is>
      </x:c>
      <x:c r="E10" s="9" t="inlineStr">
        <x:is>
          <x:t xml:space="preserve">Fatou + hypercontractivity</x:t>
        </x:is>
      </x:c>
      <x:c r="F10" s="16" t="n">
        <x:v>1</x:v>
      </x:c>
      <x:c r="G10" s="16" t="n">
        <x:v>1</x:v>
      </x:c>
      <x:c r="H10" s="16" t="n">
        <x:v>1</x:v>
      </x:c>
      <x:c r="I10" s="16" t="n">
        <x:v>1</x:v>
      </x:c>
      <x:c r="J10" s="17" t="inlineStr">
        <x:is>
          <x:t xml:space="preserve">Accepted</x:t>
        </x:is>
      </x:c>
      <x:c r="K10" s="15" t="str">
        <x:f>IF(J10="Accepted",IF(I10=1,"Resolve","Local-only win"),IF(J10="Rejected",IF(G10=0,"Invalid inference","Eliminate route"),IF(J10="Partial","Refine gap",IF(J10="Deferred","Undeveloped route","Open bridge"))))</x:f>
        <x:v>Resolve</x:v>
      </x:c>
      <x:c r="L10" s="15" t="inlineStr">
        <x:is>
          <x:t xml:space="preserve"/>
        </x:is>
      </x:c>
      <x:c r="M10" s="9" t="inlineStr">
        <x:is>
          <x:t xml:space="preserve">The limit argument needs "lim inf" rather than "lim sup". The conclusion is correct once the missing bound from the previous step is supplied.</x:t>
        </x:is>
      </x:c>
    </x:row>
    <x:row r="11" ht="120" customHeight="1">
      <x:c r="A11" s="11" t="n">
        <x:v>2</x:v>
      </x:c>
      <x:c r="B11" s="12" t="inlineStr">
        <x:is>
          <x:t xml:space="preserve">Rankin-Selberg local test vector</x:t>
        </x:is>
      </x:c>
      <x:c r="C11" s="12" t="inlineStr">
        <x:is>
          <x:t xml:space="preserve">Automorphic forms</x:t>
        </x:is>
      </x:c>
      <x:c r="D11" s="11" t="inlineStr">
        <x:is>
          <x:t xml:space="preserve">A1</x:t>
        </x:is>
      </x:c>
      <x:c r="E11" s="12" t="inlineStr">
        <x:is>
          <x:t xml:space="preserve">uQ-twist extraction</x:t>
        </x:is>
      </x:c>
      <x:c r="F11" s="13" t="n">
        <x:v>1</x:v>
      </x:c>
      <x:c r="G11" s="13" t="n">
        <x:v>1</x:v>
      </x:c>
      <x:c r="H11" s="13" t="n">
        <x:v>1</x:v>
      </x:c>
      <x:c r="I11" s="13" t="n">
        <x:v>1</x:v>
      </x:c>
      <x:c r="J11" s="14" t="inlineStr">
        <x:is>
          <x:t xml:space="preserve">Accepted</x:t>
        </x:is>
      </x:c>
      <x:c r="K11" s="11" t="str">
        <x:f>IF(J11="Accepted",IF(I11=1,"Resolve","Local-only win"),IF(J11="Rejected",IF(G11=0,"Invalid inference","Eliminate route"),IF(J11="Partial","Refine gap",IF(J11="Deferred","Undeveloped route","Open bridge"))))</x:f>
        <x:v>Resolve</x:v>
      </x:c>
      <x:c r="L11" s="11" t="inlineStr">
        <x:is>
          <x:t xml:space="preserve"/>
        </x:is>
      </x:c>
      <x:c r="M11" s="12" t="inlineStr">
        <x:is>
          <x:t xml:space="preserve">Clean.</x:t>
        </x:is>
      </x:c>
    </x:row>
    <x:row r="12" ht="120" customHeight="1">
      <x:c r="A12" s="15" t="n">
        <x:v>2</x:v>
      </x:c>
      <x:c r="B12" s="9" t="inlineStr">
        <x:is>
          <x:t xml:space="preserve">Rankin-Selberg local test vector</x:t>
        </x:is>
      </x:c>
      <x:c r="C12" s="9" t="inlineStr">
        <x:is>
          <x:t xml:space="preserve">Automorphic forms</x:t>
        </x:is>
      </x:c>
      <x:c r="D12" s="15" t="inlineStr">
        <x:is>
          <x:t xml:space="preserve">A2</x:t>
        </x:is>
      </x:c>
      <x:c r="E12" s="9" t="inlineStr">
        <x:is>
          <x:t xml:space="preserve">Monomiality criterion</x:t>
        </x:is>
      </x:c>
      <x:c r="F12" s="16" t="n">
        <x:v>1</x:v>
      </x:c>
      <x:c r="G12" s="16" t="n">
        <x:v>1</x:v>
      </x:c>
      <x:c r="H12" s="16" t="n">
        <x:v>1</x:v>
      </x:c>
      <x:c r="I12" s="16" t="n">
        <x:v>1</x:v>
      </x:c>
      <x:c r="J12" s="17" t="inlineStr">
        <x:is>
          <x:t xml:space="preserve">Accepted</x:t>
        </x:is>
      </x:c>
      <x:c r="K12" s="15" t="str">
        <x:f>IF(J12="Accepted",IF(I12=1,"Resolve","Local-only win"),IF(J12="Rejected",IF(G12=0,"Invalid inference","Eliminate route"),IF(J12="Partial","Refine gap",IF(J12="Deferred","Undeveloped route","Open bridge"))))</x:f>
        <x:v>Resolve</x:v>
      </x:c>
      <x:c r="L12" s="15" t="inlineStr">
        <x:is>
          <x:t xml:space="preserve"/>
        </x:is>
      </x:c>
      <x:c r="M12" s="9" t="inlineStr">
        <x:is>
          <x:t xml:space="preserve">Minor caveat on the domain of the test function; the main conclusion is unaffected.</x:t>
        </x:is>
      </x:c>
    </x:row>
    <x:row r="13" ht="120" customHeight="1">
      <x:c r="A13" s="15" t="n">
        <x:v>2</x:v>
      </x:c>
      <x:c r="B13" s="9" t="inlineStr">
        <x:is>
          <x:t xml:space="preserve">Rankin-Selberg local test vector</x:t>
        </x:is>
      </x:c>
      <x:c r="C13" s="9" t="inlineStr">
        <x:is>
          <x:t xml:space="preserve">Automorphic forms</x:t>
        </x:is>
      </x:c>
      <x:c r="D13" s="15" t="inlineStr">
        <x:is>
          <x:t xml:space="preserve">A3</x:t>
        </x:is>
      </x:c>
      <x:c r="E13" s="9" t="inlineStr">
        <x:is>
          <x:t xml:space="preserve">GL₂×GL₁ via Gauss sums</x:t>
        </x:is>
      </x:c>
      <x:c r="F13" s="16" t="n">
        <x:v>1</x:v>
      </x:c>
      <x:c r="G13" s="16" t="n">
        <x:v>1</x:v>
      </x:c>
      <x:c r="H13" s="16" t="n">
        <x:v>1</x:v>
      </x:c>
      <x:c r="I13" s="16" t="n">
        <x:v>1</x:v>
      </x:c>
      <x:c r="J13" s="17" t="inlineStr">
        <x:is>
          <x:t xml:space="preserve">Accepted</x:t>
        </x:is>
      </x:c>
      <x:c r="K13" s="15" t="str">
        <x:f>IF(J13="Accepted",IF(I13=1,"Resolve","Local-only win"),IF(J13="Rejected",IF(G13=0,"Invalid inference","Eliminate route"),IF(J13="Partial","Refine gap",IF(J13="Deferred","Undeveloped route","Open bridge"))))</x:f>
        <x:v>Resolve</x:v>
      </x:c>
      <x:c r="L13" s="15" t="inlineStr">
        <x:is>
          <x:t xml:space="preserve"/>
        </x:is>
      </x:c>
      <x:c r="M13" s="9" t="inlineStr">
        <x:is>
          <x:t xml:space="preserve">Clean. The n=1 base case is validated.</x:t>
        </x:is>
      </x:c>
    </x:row>
    <x:row r="14" ht="120" customHeight="1">
      <x:c r="A14" s="15" t="n">
        <x:v>2</x:v>
      </x:c>
      <x:c r="B14" s="9" t="inlineStr">
        <x:is>
          <x:t xml:space="preserve">Rankin-Selberg local test vector</x:t>
        </x:is>
      </x:c>
      <x:c r="C14" s="9" t="inlineStr">
        <x:is>
          <x:t xml:space="preserve">Automorphic forms</x:t>
        </x:is>
      </x:c>
      <x:c r="D14" s="15" t="inlineStr">
        <x:is>
          <x:t xml:space="preserve">A4</x:t>
        </x:is>
      </x:c>
      <x:c r="E14" s="9" t="inlineStr">
        <x:is>
          <x:t xml:space="preserve">Diagonal shell isolation (essential Whittaker)</x:t>
        </x:is>
      </x:c>
      <x:c r="F14" s="16" t="n">
        <x:v>1</x:v>
      </x:c>
      <x:c r="G14" s="16" t="n">
        <x:v>1</x:v>
      </x:c>
      <x:c r="H14" s="16" t="n">
        <x:v>1</x:v>
      </x:c>
      <x:c r="I14" s="18" t="n">
        <x:v>0</x:v>
      </x:c>
      <x:c r="J14" s="17" t="inlineStr">
        <x:is>
          <x:t xml:space="preserve">Accepted</x:t>
        </x:is>
      </x:c>
      <x:c r="K14" s="15" t="str">
        <x:f>IF(J14="Accepted",IF(I14=1,"Resolve","Local-only win"),IF(J14="Rejected",IF(G14=0,"Invalid inference","Eliminate route"),IF(J14="Partial","Refine gap",IF(J14="Deferred","Undeveloped route","Open bridge"))))</x:f>
        <x:v>Local-only win</x:v>
      </x:c>
      <x:c r="L14" s="15" t="inlineStr">
        <x:is>
          <x:t xml:space="preserve"/>
        </x:is>
      </x:c>
      <x:c r="M14" s="9" t="inlineStr">
        <x:is>
          <x:t xml:space="preserve">Clean for the diagonal statement, but the mechanism does not yet control off-diagonal contributions.</x:t>
        </x:is>
      </x:c>
    </x:row>
    <x:row r="15" ht="120" customHeight="1">
      <x:c r="A15" s="15" t="n">
        <x:v>2</x:v>
      </x:c>
      <x:c r="B15" s="9" t="inlineStr">
        <x:is>
          <x:t xml:space="preserve">Rankin-Selberg local test vector</x:t>
        </x:is>
      </x:c>
      <x:c r="C15" s="9" t="inlineStr">
        <x:is>
          <x:t xml:space="preserve">Automorphic forms</x:t>
        </x:is>
      </x:c>
      <x:c r="D15" s="15" t="inlineStr">
        <x:is>
          <x:t xml:space="preserve">A5</x:t>
        </x:is>
      </x:c>
      <x:c r="E15" s="9" t="inlineStr">
        <x:is>
          <x:t xml:space="preserve">Newform recurrence delta operator</x:t>
        </x:is>
      </x:c>
      <x:c r="F15" s="16" t="n">
        <x:v>1</x:v>
      </x:c>
      <x:c r="G15" s="18" t="n">
        <x:v>0</x:v>
      </x:c>
      <x:c r="H15" s="18" t="n">
        <x:v>0</x:v>
      </x:c>
      <x:c r="I15" s="18" t="n">
        <x:v>0</x:v>
      </x:c>
      <x:c r="J15" s="20" t="inlineStr">
        <x:is>
          <x:t xml:space="preserve">Rejected</x:t>
        </x:is>
      </x:c>
      <x:c r="K15" s="15" t="str">
        <x:f>IF(J15="Accepted",IF(I15=1,"Resolve","Local-only win"),IF(J15="Rejected",IF(G15=0,"Invalid inference","Eliminate route"),IF(J15="Partial","Refine gap",IF(J15="Deferred","Undeveloped route","Open bridge"))))</x:f>
        <x:v>Invalid inference</x:v>
      </x:c>
      <x:c r="L15" s="21" t="inlineStr">
        <x:is>
          <x:t xml:space="preserve">Audit</x:t>
        </x:is>
      </x:c>
      <x:c r="M15" s="9" t="inlineStr">
        <x:is>
          <x:t xml:space="preserve">The claimed delta operator is false as stated: the characteristic polynomial annihilates the full sequence, including the k=0 term. A route of this flavor may still be salvageable with explicit initial-condition data, but this version is invalid.</x:t>
        </x:is>
      </x:c>
    </x:row>
    <x:row r="16" ht="120" customHeight="1">
      <x:c r="A16" s="15" t="n">
        <x:v>2</x:v>
      </x:c>
      <x:c r="B16" s="9" t="inlineStr">
        <x:is>
          <x:t xml:space="preserve">Rankin-Selberg local test vector</x:t>
        </x:is>
      </x:c>
      <x:c r="C16" s="9" t="inlineStr">
        <x:is>
          <x:t xml:space="preserve">Automorphic forms</x:t>
        </x:is>
      </x:c>
      <x:c r="D16" s="15" t="inlineStr">
        <x:is>
          <x:t xml:space="preserve">R1</x:t>
        </x:is>
      </x:c>
      <x:c r="E16" s="9" t="inlineStr">
        <x:is>
          <x:t xml:space="preserve">Gauss-sum/Iwasawa (higher rank)</x:t>
        </x:is>
      </x:c>
      <x:c r="F16" s="16" t="n">
        <x:v>1</x:v>
      </x:c>
      <x:c r="G16" s="16" t="n">
        <x:v>1</x:v>
      </x:c>
      <x:c r="H16" s="18" t="n">
        <x:v>0</x:v>
      </x:c>
      <x:c r="I16" s="18" t="n">
        <x:v>0</x:v>
      </x:c>
      <x:c r="J16" s="22" t="inlineStr">
        <x:is>
          <x:t xml:space="preserve">Deferred</x:t>
        </x:is>
      </x:c>
      <x:c r="K16" s="15" t="str">
        <x:f>IF(J16="Accepted",IF(I16=1,"Resolve","Local-only win"),IF(J16="Rejected",IF(G16=0,"Invalid inference","Eliminate route"),IF(J16="Partial","Refine gap",IF(J16="Deferred","Undeveloped route","Open bridge"))))</x:f>
        <x:v>Undeveloped route</x:v>
      </x:c>
      <x:c r="L16" s="15" t="inlineStr">
        <x:is>
          <x:t xml:space="preserve"/>
        </x:is>
      </x:c>
      <x:c r="M16" s="9" t="inlineStr">
        <x:is>
          <x:t xml:space="preserve"/>
        </x:is>
      </x:c>
    </x:row>
    <x:row r="17" ht="120" customHeight="1">
      <x:c r="A17" s="15" t="n">
        <x:v>2</x:v>
      </x:c>
      <x:c r="B17" s="9" t="inlineStr">
        <x:is>
          <x:t xml:space="preserve">Rankin-Selberg local test vector</x:t>
        </x:is>
      </x:c>
      <x:c r="C17" s="9" t="inlineStr">
        <x:is>
          <x:t xml:space="preserve">Automorphic forms</x:t>
        </x:is>
      </x:c>
      <x:c r="D17" s="15" t="inlineStr">
        <x:is>
          <x:t xml:space="preserve">R2</x:t>
        </x:is>
      </x:c>
      <x:c r="E17" s="9" t="inlineStr">
        <x:is>
          <x:t xml:space="preserve">Mirabolic/Kirillov (higher rank)</x:t>
        </x:is>
      </x:c>
      <x:c r="F17" s="16" t="n">
        <x:v>1</x:v>
      </x:c>
      <x:c r="G17" s="16" t="n">
        <x:v>1</x:v>
      </x:c>
      <x:c r="H17" s="18" t="n">
        <x:v>0</x:v>
      </x:c>
      <x:c r="I17" s="18" t="n">
        <x:v>0</x:v>
      </x:c>
      <x:c r="J17" s="22" t="inlineStr">
        <x:is>
          <x:t xml:space="preserve">Deferred</x:t>
        </x:is>
      </x:c>
      <x:c r="K17" s="15" t="str">
        <x:f>IF(J17="Accepted",IF(I17=1,"Resolve","Local-only win"),IF(J17="Rejected",IF(G17=0,"Invalid inference","Eliminate route"),IF(J17="Partial","Refine gap",IF(J17="Deferred","Undeveloped route","Open bridge"))))</x:f>
        <x:v>Undeveloped route</x:v>
      </x:c>
      <x:c r="L17" s="15" t="inlineStr">
        <x:is>
          <x:t xml:space="preserve"/>
        </x:is>
      </x:c>
      <x:c r="M17" s="9" t="inlineStr">
        <x:is>
          <x:t xml:space="preserve"/>
        </x:is>
      </x:c>
    </x:row>
    <x:row r="18" ht="120" customHeight="1">
      <x:c r="A18" s="15" t="n">
        <x:v>2</x:v>
      </x:c>
      <x:c r="B18" s="9" t="inlineStr">
        <x:is>
          <x:t xml:space="preserve">Rankin-Selberg local test vector</x:t>
        </x:is>
      </x:c>
      <x:c r="C18" s="9" t="inlineStr">
        <x:is>
          <x:t xml:space="preserve">Automorphic forms</x:t>
        </x:is>
      </x:c>
      <x:c r="D18" s="15" t="inlineStr">
        <x:is>
          <x:t xml:space="preserve">X1</x:t>
        </x:is>
      </x:c>
      <x:c r="E18" s="9" t="inlineStr">
        <x:is>
          <x:t xml:space="preserve">Functional equation / ε-factor</x:t>
        </x:is>
      </x:c>
      <x:c r="F18" s="16" t="n">
        <x:v>1</x:v>
      </x:c>
      <x:c r="G18" s="16" t="n">
        <x:v>1</x:v>
      </x:c>
      <x:c r="H18" s="18" t="n">
        <x:v>0</x:v>
      </x:c>
      <x:c r="I18" s="18" t="n">
        <x:v>0</x:v>
      </x:c>
      <x:c r="J18" s="20" t="inlineStr">
        <x:is>
          <x:t xml:space="preserve">Rejected</x:t>
        </x:is>
      </x:c>
      <x:c r="K18" s="15" t="str">
        <x:f>IF(J18="Accepted",IF(I18=1,"Resolve","Local-only win"),IF(J18="Rejected",IF(G18=0,"Invalid inference","Eliminate route"),IF(J18="Partial","Refine gap",IF(J18="Deferred","Undeveloped route","Open bridge"))))</x:f>
        <x:v>Eliminate route</x:v>
      </x:c>
      <x:c r="L18" s="22" t="inlineStr">
        <x:is>
          <x:t xml:space="preserve">Agent</x:t>
        </x:is>
      </x:c>
      <x:c r="M18" s="9" t="inlineStr">
        <x:is>
          <x:t xml:space="preserve">Route correctly ruled out: there is no robust mapping from the uQ-shift to the required Fourier-transform data.</x:t>
        </x:is>
      </x:c>
    </x:row>
    <x:row r="19" ht="120" customHeight="1">
      <x:c r="A19" s="15" t="n">
        <x:v>2</x:v>
      </x:c>
      <x:c r="B19" s="9" t="inlineStr">
        <x:is>
          <x:t xml:space="preserve">Rankin-Selberg local test vector</x:t>
        </x:is>
      </x:c>
      <x:c r="C19" s="9" t="inlineStr">
        <x:is>
          <x:t xml:space="preserve">Automorphic forms</x:t>
        </x:is>
      </x:c>
      <x:c r="D19" s="15" t="inlineStr">
        <x:is>
          <x:t xml:space="preserve">X2</x:t>
        </x:is>
      </x:c>
      <x:c r="E19" s="9" t="inlineStr">
        <x:is>
          <x:t xml:space="preserve">Black-box Hecke projection</x:t>
        </x:is>
      </x:c>
      <x:c r="F19" s="16" t="n">
        <x:v>1</x:v>
      </x:c>
      <x:c r="G19" s="16" t="n">
        <x:v>1</x:v>
      </x:c>
      <x:c r="H19" s="18" t="n">
        <x:v>0</x:v>
      </x:c>
      <x:c r="I19" s="18" t="n">
        <x:v>0</x:v>
      </x:c>
      <x:c r="J19" s="20" t="inlineStr">
        <x:is>
          <x:t xml:space="preserve">Rejected</x:t>
        </x:is>
      </x:c>
      <x:c r="K19" s="15" t="str">
        <x:f>IF(J19="Accepted",IF(I19=1,"Resolve","Local-only win"),IF(J19="Rejected",IF(G19=0,"Invalid inference","Eliminate route"),IF(J19="Partial","Refine gap",IF(J19="Deferred","Undeveloped route","Open bridge"))))</x:f>
        <x:v>Eliminate route</x:v>
      </x:c>
      <x:c r="L19" s="22" t="inlineStr">
        <x:is>
          <x:t xml:space="preserve">Agent</x:t>
        </x:is>
      </x:c>
      <x:c r="M19" s="9" t="inlineStr">
        <x:is>
          <x:t xml:space="preserve">This route is dominated by the explicit recurrence analysis and does not add a valid mechanism.</x:t>
        </x:is>
      </x:c>
    </x:row>
    <x:row r="20" ht="120" customHeight="1">
      <x:c r="A20" s="15" t="n">
        <x:v>2</x:v>
      </x:c>
      <x:c r="B20" s="9" t="inlineStr">
        <x:is>
          <x:t xml:space="preserve">Rankin-Selberg local test vector</x:t>
        </x:is>
      </x:c>
      <x:c r="C20" s="9" t="inlineStr">
        <x:is>
          <x:t xml:space="preserve">Automorphic forms</x:t>
        </x:is>
      </x:c>
      <x:c r="D20" s="15" t="inlineStr">
        <x:is>
          <x:t xml:space="preserve">BL1</x:t>
        </x:is>
      </x:c>
      <x:c r="E20" s="9" t="inlineStr">
        <x:is>
          <x:t xml:space="preserve">Controlled-sampling bridge</x:t>
        </x:is>
      </x:c>
      <x:c r="F20" s="16" t="n">
        <x:v>1</x:v>
      </x:c>
      <x:c r="G20" s="16" t="n">
        <x:v>1</x:v>
      </x:c>
      <x:c r="H20" s="18" t="n">
        <x:v>0</x:v>
      </x:c>
      <x:c r="I20" s="18" t="n">
        <x:v>0</x:v>
      </x:c>
      <x:c r="J20" s="21" t="inlineStr">
        <x:is>
          <x:t xml:space="preserve">Open</x:t>
        </x:is>
      </x:c>
      <x:c r="K20" s="15" t="str">
        <x:f>IF(J20="Accepted",IF(I20=1,"Resolve","Local-only win"),IF(J20="Rejected",IF(G20=0,"Invalid inference","Eliminate route"),IF(J20="Partial","Refine gap",IF(J20="Deferred","Undeveloped route","Open bridge"))))</x:f>
        <x:v>Open bridge</x:v>
      </x:c>
      <x:c r="L20" s="15" t="inlineStr">
        <x:is>
          <x:t xml:space="preserve"/>
        </x:is>
      </x:c>
      <x:c r="M20" s="9" t="inlineStr">
        <x:is>
          <x:t xml:space="preserve">Explicit bridge conjecture. The statement is well formed but unresolved in this pilot.</x:t>
        </x:is>
      </x:c>
    </x:row>
    <x:row r="21" ht="120" customHeight="1">
      <x:c r="A21" s="15" t="n">
        <x:v>2</x:v>
      </x:c>
      <x:c r="B21" s="9" t="inlineStr">
        <x:is>
          <x:t xml:space="preserve">Rankin-Selberg local test vector</x:t>
        </x:is>
      </x:c>
      <x:c r="C21" s="9" t="inlineStr">
        <x:is>
          <x:t xml:space="preserve">Automorphic forms</x:t>
        </x:is>
      </x:c>
      <x:c r="D21" s="15" t="inlineStr">
        <x:is>
          <x:t xml:space="preserve">BL2</x:t>
        </x:is>
      </x:c>
      <x:c r="E21" s="9" t="inlineStr">
        <x:is>
          <x:t xml:space="preserve">Diagonal-to-shell bridge</x:t>
        </x:is>
      </x:c>
      <x:c r="F21" s="16" t="n">
        <x:v>1</x:v>
      </x:c>
      <x:c r="G21" s="16" t="n">
        <x:v>1</x:v>
      </x:c>
      <x:c r="H21" s="18" t="n">
        <x:v>0</x:v>
      </x:c>
      <x:c r="I21" s="18" t="n">
        <x:v>0</x:v>
      </x:c>
      <x:c r="J21" s="21" t="inlineStr">
        <x:is>
          <x:t xml:space="preserve">Open</x:t>
        </x:is>
      </x:c>
      <x:c r="K21" s="15" t="str">
        <x:f>IF(J21="Accepted",IF(I21=1,"Resolve","Local-only win"),IF(J21="Rejected",IF(G21=0,"Invalid inference","Eliminate route"),IF(J21="Partial","Refine gap",IF(J21="Deferred","Undeveloped route","Open bridge"))))</x:f>
        <x:v>Open bridge</x:v>
      </x:c>
      <x:c r="L21" s="15" t="inlineStr">
        <x:is>
          <x:t xml:space="preserve"/>
        </x:is>
      </x:c>
      <x:c r="M21" s="9" t="inlineStr">
        <x:is>
          <x:t xml:space="preserve">Explicit bridge conjecture marking the remaining obstruction from diagonal control to the full integral.</x:t>
        </x:is>
      </x:c>
    </x:row>
    <x:row r="22" ht="120" customHeight="1">
      <x:c r="A22" s="11" t="n">
        <x:v>3</x:v>
      </x:c>
      <x:c r="B22" s="12" t="inlineStr">
        <x:is>
          <x:t xml:space="preserve">Markov kernel construction</x:t>
        </x:is>
      </x:c>
      <x:c r="C22" s="12" t="inlineStr">
        <x:is>
          <x:t xml:space="preserve">Probability and algebraic combinatorics</x:t>
        </x:is>
      </x:c>
      <x:c r="D22" s="11" t="inlineStr">
        <x:is>
          <x:t xml:space="preserve">M1</x:t>
        </x:is>
      </x:c>
      <x:c r="E22" s="12" t="inlineStr">
        <x:is>
          <x:t xml:space="preserve">Metropolis-Hastings</x:t>
        </x:is>
      </x:c>
      <x:c r="F22" s="13" t="n">
        <x:v>1</x:v>
      </x:c>
      <x:c r="G22" s="13" t="n">
        <x:v>1</x:v>
      </x:c>
      <x:c r="H22" s="13" t="n">
        <x:v>1</x:v>
      </x:c>
      <x:c r="I22" s="23" t="n">
        <x:v>0</x:v>
      </x:c>
      <x:c r="J22" s="14" t="inlineStr">
        <x:is>
          <x:t xml:space="preserve">Accepted</x:t>
        </x:is>
      </x:c>
      <x:c r="K22" s="11" t="str">
        <x:f>IF(J22="Accepted",IF(I22=1,"Resolve","Local-only win"),IF(J22="Rejected",IF(G22=0,"Invalid inference","Eliminate route"),IF(J22="Partial","Refine gap",IF(J22="Deferred","Undeveloped route","Open bridge"))))</x:f>
        <x:v>Local-only win</x:v>
      </x:c>
      <x:c r="L22" s="11" t="inlineStr">
        <x:is>
          <x:t xml:space="preserve"/>
        </x:is>
      </x:c>
      <x:c r="M22" s="12" t="inlineStr">
        <x:is>
          <x:t xml:space="preserve">Clean at the level of stationarity, but the construction is local-only: it does not address the nontriviality constraint.</x:t>
        </x:is>
      </x:c>
    </x:row>
    <x:row r="23" ht="120" customHeight="1">
      <x:c r="A23" s="15" t="n">
        <x:v>3</x:v>
      </x:c>
      <x:c r="B23" s="9" t="inlineStr">
        <x:is>
          <x:t xml:space="preserve">Markov kernel construction</x:t>
        </x:is>
      </x:c>
      <x:c r="C23" s="9" t="inlineStr">
        <x:is>
          <x:t xml:space="preserve">Probability and algebraic combinatorics</x:t>
        </x:is>
      </x:c>
      <x:c r="D23" s="15" t="inlineStr">
        <x:is>
          <x:t xml:space="preserve">M1-NT</x:t>
        </x:is>
      </x:c>
      <x:c r="E23" s="9" t="inlineStr">
        <x:is>
          <x:t xml:space="preserve">Nontriviality audit of M1</x:t>
        </x:is>
      </x:c>
      <x:c r="F23" s="16" t="n">
        <x:v>1</x:v>
      </x:c>
      <x:c r="G23" s="16" t="n">
        <x:v>1</x:v>
      </x:c>
      <x:c r="H23" s="18" t="n">
        <x:v>0</x:v>
      </x:c>
      <x:c r="I23" s="16" t="n">
        <x:v>1</x:v>
      </x:c>
      <x:c r="J23" s="19" t="inlineStr">
        <x:is>
          <x:t xml:space="preserve">Partial</x:t>
        </x:is>
      </x:c>
      <x:c r="K23" s="15" t="str">
        <x:f>IF(J23="Accepted",IF(I23=1,"Resolve","Local-only win"),IF(J23="Rejected",IF(G23=0,"Invalid inference","Eliminate route"),IF(J23="Partial","Refine gap",IF(J23="Deferred","Undeveloped route","Open bridge"))))</x:f>
        <x:v>Refine gap</x:v>
      </x:c>
      <x:c r="L23" s="15" t="inlineStr">
        <x:is>
          <x:t xml:space="preserve"/>
        </x:is>
      </x:c>
      <x:c r="M23" s="9" t="inlineStr">
        <x:is>
          <x:t xml:space="preserve">Useful diagnostic: the Metropolis-Hastings route uses the forbidden ratio F^nu/F^mu. The audit correctly isolates the nontriviality gap, but does not solve it.</x:t>
        </x:is>
      </x:c>
    </x:row>
    <x:row r="24" ht="120" customHeight="1">
      <x:c r="A24" s="15" t="n">
        <x:v>3</x:v>
      </x:c>
      <x:c r="B24" s="9" t="inlineStr">
        <x:is>
          <x:t xml:space="preserve">Markov kernel construction</x:t>
        </x:is>
      </x:c>
      <x:c r="C24" s="9" t="inlineStr">
        <x:is>
          <x:t xml:space="preserve">Probability and algebraic combinatorics</x:t>
        </x:is>
      </x:c>
      <x:c r="D24" s="15" t="inlineStr">
        <x:is>
          <x:t xml:space="preserve">M2</x:t>
        </x:is>
      </x:c>
      <x:c r="E24" s="9" t="inlineStr">
        <x:is>
          <x:t xml:space="preserve">Heat-bath / Gibbs</x:t>
        </x:is>
      </x:c>
      <x:c r="F24" s="16" t="n">
        <x:v>1</x:v>
      </x:c>
      <x:c r="G24" s="16" t="n">
        <x:v>1</x:v>
      </x:c>
      <x:c r="H24" s="18" t="n">
        <x:v>0</x:v>
      </x:c>
      <x:c r="I24" s="18" t="n">
        <x:v>0</x:v>
      </x:c>
      <x:c r="J24" s="22" t="inlineStr">
        <x:is>
          <x:t xml:space="preserve">Deferred</x:t>
        </x:is>
      </x:c>
      <x:c r="K24" s="15" t="str">
        <x:f>IF(J24="Accepted",IF(I24=1,"Resolve","Local-only win"),IF(J24="Rejected",IF(G24=0,"Invalid inference","Eliminate route"),IF(J24="Partial","Refine gap",IF(J24="Deferred","Undeveloped route","Open bridge"))))</x:f>
        <x:v>Undeveloped route</x:v>
      </x:c>
      <x:c r="L24" s="15" t="inlineStr">
        <x:is>
          <x:t xml:space="preserve"/>
        </x:is>
      </x:c>
      <x:c r="M24" s="9" t="inlineStr">
        <x:is>
          <x:t xml:space="preserve"/>
        </x:is>
      </x:c>
    </x:row>
    <x:row r="25" ht="120" customHeight="1">
      <x:c r="A25" s="15" t="n">
        <x:v>3</x:v>
      </x:c>
      <x:c r="B25" s="9" t="inlineStr">
        <x:is>
          <x:t xml:space="preserve">Markov kernel construction</x:t>
        </x:is>
      </x:c>
      <x:c r="C25" s="9" t="inlineStr">
        <x:is>
          <x:t xml:space="preserve">Probability and algebraic combinatorics</x:t>
        </x:is>
      </x:c>
      <x:c r="D25" s="15" t="inlineStr">
        <x:is>
          <x:t xml:space="preserve">M3</x:t>
        </x:is>
      </x:c>
      <x:c r="E25" s="9" t="inlineStr">
        <x:is>
          <x:t xml:space="preserve">Particle-system analogue</x:t>
        </x:is>
      </x:c>
      <x:c r="F25" s="16" t="n">
        <x:v>1</x:v>
      </x:c>
      <x:c r="G25" s="16" t="n">
        <x:v>1</x:v>
      </x:c>
      <x:c r="H25" s="18" t="n">
        <x:v>0</x:v>
      </x:c>
      <x:c r="I25" s="18" t="n">
        <x:v>0</x:v>
      </x:c>
      <x:c r="J25" s="22" t="inlineStr">
        <x:is>
          <x:t xml:space="preserve">Deferred</x:t>
        </x:is>
      </x:c>
      <x:c r="K25" s="15" t="str">
        <x:f>IF(J25="Accepted",IF(I25=1,"Resolve","Local-only win"),IF(J25="Rejected",IF(G25=0,"Invalid inference","Eliminate route"),IF(J25="Partial","Refine gap",IF(J25="Deferred","Undeveloped route","Open bridge"))))</x:f>
        <x:v>Undeveloped route</x:v>
      </x:c>
      <x:c r="L25" s="15" t="inlineStr">
        <x:is>
          <x:t xml:space="preserve"/>
        </x:is>
      </x:c>
      <x:c r="M25" s="9" t="inlineStr">
        <x:is>
          <x:t xml:space="preserve"/>
        </x:is>
      </x:c>
    </x:row>
    <x:row r="26" ht="120" customHeight="1">
      <x:c r="A26" s="15" t="n">
        <x:v>3</x:v>
      </x:c>
      <x:c r="B26" s="9" t="inlineStr">
        <x:is>
          <x:t xml:space="preserve">Markov kernel construction</x:t>
        </x:is>
      </x:c>
      <x:c r="C26" s="9" t="inlineStr">
        <x:is>
          <x:t xml:space="preserve">Probability and algebraic combinatorics</x:t>
        </x:is>
      </x:c>
      <x:c r="D26" s="15" t="inlineStr">
        <x:is>
          <x:t xml:space="preserve">M4</x:t>
        </x:is>
      </x:c>
      <x:c r="E26" s="9" t="inlineStr">
        <x:is>
          <x:t xml:space="preserve">Hecke-stochastic operator</x:t>
        </x:is>
      </x:c>
      <x:c r="F26" s="16" t="n">
        <x:v>1</x:v>
      </x:c>
      <x:c r="G26" s="16" t="n">
        <x:v>1</x:v>
      </x:c>
      <x:c r="H26" s="18" t="n">
        <x:v>0</x:v>
      </x:c>
      <x:c r="I26" s="18" t="n">
        <x:v>0</x:v>
      </x:c>
      <x:c r="J26" s="22" t="inlineStr">
        <x:is>
          <x:t xml:space="preserve">Deferred</x:t>
        </x:is>
      </x:c>
      <x:c r="K26" s="15" t="str">
        <x:f>IF(J26="Accepted",IF(I26=1,"Resolve","Local-only win"),IF(J26="Rejected",IF(G26=0,"Invalid inference","Eliminate route"),IF(J26="Partial","Refine gap",IF(J26="Deferred","Undeveloped route","Open bridge"))))</x:f>
        <x:v>Undeveloped route</x:v>
      </x:c>
      <x:c r="L26" s="15" t="inlineStr">
        <x:is>
          <x:t xml:space="preserve"/>
        </x:is>
      </x:c>
      <x:c r="M26" s="9" t="inlineStr">
        <x:is>
          <x:t xml:space="preserve"/>
        </x:is>
      </x:c>
    </x:row>
    <x:row r="27" ht="120" customHeight="1">
      <x:c r="A27" s="15" t="n">
        <x:v>3</x:v>
      </x:c>
      <x:c r="B27" s="9" t="inlineStr">
        <x:is>
          <x:t xml:space="preserve">Markov kernel construction</x:t>
        </x:is>
      </x:c>
      <x:c r="C27" s="9" t="inlineStr">
        <x:is>
          <x:t xml:space="preserve">Probability and algebraic combinatorics</x:t>
        </x:is>
      </x:c>
      <x:c r="D27" s="15" t="inlineStr">
        <x:is>
          <x:t xml:space="preserve">M5</x:t>
        </x:is>
      </x:c>
      <x:c r="E27" s="9" t="inlineStr">
        <x:is>
          <x:t xml:space="preserve">Queue lift + lumping</x:t>
        </x:is>
      </x:c>
      <x:c r="F27" s="16" t="n">
        <x:v>1</x:v>
      </x:c>
      <x:c r="G27" s="16" t="n">
        <x:v>1</x:v>
      </x:c>
      <x:c r="H27" s="18" t="n">
        <x:v>0</x:v>
      </x:c>
      <x:c r="I27" s="18" t="n">
        <x:v>0</x:v>
      </x:c>
      <x:c r="J27" s="22" t="inlineStr">
        <x:is>
          <x:t xml:space="preserve">Deferred</x:t>
        </x:is>
      </x:c>
      <x:c r="K27" s="15" t="str">
        <x:f>IF(J27="Accepted",IF(I27=1,"Resolve","Local-only win"),IF(J27="Rejected",IF(G27=0,"Invalid inference","Eliminate route"),IF(J27="Partial","Refine gap",IF(J27="Deferred","Undeveloped route","Open bridge"))))</x:f>
        <x:v>Undeveloped route</x:v>
      </x:c>
      <x:c r="L27" s="15" t="inlineStr">
        <x:is>
          <x:t xml:space="preserve"/>
        </x:is>
      </x:c>
      <x:c r="M27" s="9" t="inlineStr">
        <x:is>
          <x:t xml:space="preserve"/>
        </x:is>
      </x:c>
    </x:row>
    <x:row r="28" ht="120" customHeight="1">
      <x:c r="A28" s="15" t="n">
        <x:v>3</x:v>
      </x:c>
      <x:c r="B28" s="9" t="inlineStr">
        <x:is>
          <x:t xml:space="preserve">Markov kernel construction</x:t>
        </x:is>
      </x:c>
      <x:c r="C28" s="9" t="inlineStr">
        <x:is>
          <x:t xml:space="preserve">Probability and algebraic combinatorics</x:t>
        </x:is>
      </x:c>
      <x:c r="D28" s="15" t="inlineStr">
        <x:is>
          <x:t xml:space="preserve">K1</x:t>
        </x:is>
      </x:c>
      <x:c r="E28" s="9" t="inlineStr">
        <x:is>
          <x:t xml:space="preserve">Polynomial-free kernel</x:t>
        </x:is>
      </x:c>
      <x:c r="F28" s="16" t="n">
        <x:v>1</x:v>
      </x:c>
      <x:c r="G28" s="16" t="n">
        <x:v>1</x:v>
      </x:c>
      <x:c r="H28" s="18" t="n">
        <x:v>0</x:v>
      </x:c>
      <x:c r="I28" s="18" t="n">
        <x:v>0</x:v>
      </x:c>
      <x:c r="J28" s="19" t="inlineStr">
        <x:is>
          <x:t xml:space="preserve">Partial</x:t>
        </x:is>
      </x:c>
      <x:c r="K28" s="15" t="str">
        <x:f>IF(J28="Accepted",IF(I28=1,"Resolve","Local-only win"),IF(J28="Rejected",IF(G28=0,"Invalid inference","Eliminate route"),IF(J28="Partial","Refine gap",IF(J28="Deferred","Undeveloped route","Open bridge"))))</x:f>
        <x:v>Refine gap</x:v>
      </x:c>
      <x:c r="L28" s="15" t="inlineStr">
        <x:is>
          <x:t xml:space="preserve"/>
        </x:is>
      </x:c>
      <x:c r="M28" s="9" t="inlineStr">
        <x:is>
          <x:t xml:space="preserve">Row-stochasticity is proved, but invariance of the target measure is not.</x:t>
        </x:is>
      </x:c>
    </x:row>
    <x:row r="29" ht="120" customHeight="1">
      <x:c r="A29" s="11" t="n">
        <x:v>4</x:v>
      </x:c>
      <x:c r="B29" s="12" t="inlineStr">
        <x:is>
          <x:t xml:space="preserve">Finite free Stam inequality</x:t>
        </x:is>
      </x:c>
      <x:c r="C29" s="12" t="inlineStr">
        <x:is>
          <x:t xml:space="preserve">Free probability</x:t>
        </x:is>
      </x:c>
      <x:c r="D29" s="11" t="inlineStr">
        <x:is>
          <x:t xml:space="preserve">A1</x:t>
        </x:is>
      </x:c>
      <x:c r="E29" s="12" t="inlineStr">
        <x:is>
          <x:t xml:space="preserve">Affine reduction</x:t>
        </x:is>
      </x:c>
      <x:c r="F29" s="13" t="n">
        <x:v>1</x:v>
      </x:c>
      <x:c r="G29" s="13" t="n">
        <x:v>1</x:v>
      </x:c>
      <x:c r="H29" s="13" t="n">
        <x:v>1</x:v>
      </x:c>
      <x:c r="I29" s="13" t="n">
        <x:v>1</x:v>
      </x:c>
      <x:c r="J29" s="14" t="inlineStr">
        <x:is>
          <x:t xml:space="preserve">Accepted</x:t>
        </x:is>
      </x:c>
      <x:c r="K29" s="11" t="str">
        <x:f>IF(J29="Accepted",IF(I29=1,"Resolve","Local-only win"),IF(J29="Rejected",IF(G29=0,"Invalid inference","Eliminate route"),IF(J29="Partial","Refine gap",IF(J29="Deferred","Undeveloped route","Open bridge"))))</x:f>
        <x:v>Resolve</x:v>
      </x:c>
      <x:c r="L29" s="11" t="inlineStr">
        <x:is>
          <x:t xml:space="preserve"/>
        </x:is>
      </x:c>
      <x:c r="M29" s="12" t="inlineStr">
        <x:is>
          <x:t xml:space="preserve">Clean.</x:t>
        </x:is>
      </x:c>
    </x:row>
    <x:row r="30" ht="120" customHeight="1">
      <x:c r="A30" s="15" t="n">
        <x:v>4</x:v>
      </x:c>
      <x:c r="B30" s="9" t="inlineStr">
        <x:is>
          <x:t xml:space="preserve">Finite free Stam inequality</x:t>
        </x:is>
      </x:c>
      <x:c r="C30" s="9" t="inlineStr">
        <x:is>
          <x:t xml:space="preserve">Free probability</x:t>
        </x:is>
      </x:c>
      <x:c r="D30" s="15" t="inlineStr">
        <x:is>
          <x:t xml:space="preserve">A2</x:t>
        </x:is>
      </x:c>
      <x:c r="E30" s="9" t="inlineStr">
        <x:is>
          <x:t xml:space="preserve">Derivative representation Φn</x:t>
        </x:is>
      </x:c>
      <x:c r="F30" s="16" t="n">
        <x:v>1</x:v>
      </x:c>
      <x:c r="G30" s="16" t="n">
        <x:v>1</x:v>
      </x:c>
      <x:c r="H30" s="16" t="n">
        <x:v>1</x:v>
      </x:c>
      <x:c r="I30" s="16" t="n">
        <x:v>1</x:v>
      </x:c>
      <x:c r="J30" s="17" t="inlineStr">
        <x:is>
          <x:t xml:space="preserve">Accepted</x:t>
        </x:is>
      </x:c>
      <x:c r="K30" s="15" t="str">
        <x:f>IF(J30="Accepted",IF(I30=1,"Resolve","Local-only win"),IF(J30="Rejected",IF(G30=0,"Invalid inference","Eliminate route"),IF(J30="Partial","Refine gap",IF(J30="Deferred","Undeveloped route","Open bridge"))))</x:f>
        <x:v>Resolve</x:v>
      </x:c>
      <x:c r="L30" s="15" t="inlineStr">
        <x:is>
          <x:t xml:space="preserve"/>
        </x:is>
      </x:c>
      <x:c r="M30" s="9" t="inlineStr">
        <x:is>
          <x:t xml:space="preserve">Clean.</x:t>
        </x:is>
      </x:c>
    </x:row>
    <x:row r="31" ht="120" customHeight="1">
      <x:c r="A31" s="15" t="n">
        <x:v>4</x:v>
      </x:c>
      <x:c r="B31" s="9" t="inlineStr">
        <x:is>
          <x:t xml:space="preserve">Finite free Stam inequality</x:t>
        </x:is>
      </x:c>
      <x:c r="C31" s="9" t="inlineStr">
        <x:is>
          <x:t xml:space="preserve">Free probability</x:t>
        </x:is>
      </x:c>
      <x:c r="D31" s="15" t="inlineStr">
        <x:is>
          <x:t xml:space="preserve">A3</x:t>
        </x:is>
      </x:c>
      <x:c r="E31" s="9" t="inlineStr">
        <x:is>
          <x:t xml:space="preserve">Gap parametrization (a,b)</x:t>
        </x:is>
      </x:c>
      <x:c r="F31" s="16" t="n">
        <x:v>1</x:v>
      </x:c>
      <x:c r="G31" s="16" t="n">
        <x:v>1</x:v>
      </x:c>
      <x:c r="H31" s="16" t="n">
        <x:v>1</x:v>
      </x:c>
      <x:c r="I31" s="18" t="n">
        <x:v>0</x:v>
      </x:c>
      <x:c r="J31" s="17" t="inlineStr">
        <x:is>
          <x:t xml:space="preserve">Accepted</x:t>
        </x:is>
      </x:c>
      <x:c r="K31" s="15" t="str">
        <x:f>IF(J31="Accepted",IF(I31=1,"Resolve","Local-only win"),IF(J31="Rejected",IF(G31=0,"Invalid inference","Eliminate route"),IF(J31="Partial","Refine gap",IF(J31="Deferred","Undeveloped route","Open bridge"))))</x:f>
        <x:v>Local-only win</x:v>
      </x:c>
      <x:c r="L31" s="15" t="inlineStr">
        <x:is>
          <x:t xml:space="preserve"/>
        </x:is>
      </x:c>
      <x:c r="M31" s="9" t="inlineStr">
        <x:is>
          <x:t xml:space="preserve">Verified. The mechanism is specific to n=3 and does not transfer automatically to larger n.</x:t>
        </x:is>
      </x:c>
    </x:row>
    <x:row r="32" ht="120" customHeight="1">
      <x:c r="A32" s="15" t="n">
        <x:v>4</x:v>
      </x:c>
      <x:c r="B32" s="9" t="inlineStr">
        <x:is>
          <x:t xml:space="preserve">Finite free Stam inequality</x:t>
        </x:is>
      </x:c>
      <x:c r="C32" s="9" t="inlineStr">
        <x:is>
          <x:t xml:space="preserve">Free probability</x:t>
        </x:is>
      </x:c>
      <x:c r="D32" s="15" t="inlineStr">
        <x:is>
          <x:t xml:space="preserve">A4</x:t>
        </x:is>
      </x:c>
      <x:c r="E32" s="9" t="inlineStr">
        <x:is>
          <x:t xml:space="preserve">Additive invariants (A,B) under ⊞₃</x:t>
        </x:is>
      </x:c>
      <x:c r="F32" s="16" t="n">
        <x:v>1</x:v>
      </x:c>
      <x:c r="G32" s="16" t="n">
        <x:v>1</x:v>
      </x:c>
      <x:c r="H32" s="16" t="n">
        <x:v>1</x:v>
      </x:c>
      <x:c r="I32" s="18" t="n">
        <x:v>0</x:v>
      </x:c>
      <x:c r="J32" s="17" t="inlineStr">
        <x:is>
          <x:t xml:space="preserve">Accepted</x:t>
        </x:is>
      </x:c>
      <x:c r="K32" s="15" t="str">
        <x:f>IF(J32="Accepted",IF(I32=1,"Resolve","Local-only win"),IF(J32="Rejected",IF(G32=0,"Invalid inference","Eliminate route"),IF(J32="Partial","Refine gap",IF(J32="Deferred","Undeveloped route","Open bridge"))))</x:f>
        <x:v>Local-only win</x:v>
      </x:c>
      <x:c r="L32" s="15" t="inlineStr">
        <x:is>
          <x:t xml:space="preserve"/>
        </x:is>
      </x:c>
      <x:c r="M32" s="9" t="inlineStr">
        <x:is>
          <x:t xml:space="preserve">Verified computationally. The invariant structure is genuine for n=3 but does not yet extend further.</x:t>
        </x:is>
      </x:c>
    </x:row>
    <x:row r="33" ht="120" customHeight="1">
      <x:c r="A33" s="15" t="n">
        <x:v>4</x:v>
      </x:c>
      <x:c r="B33" s="9" t="inlineStr">
        <x:is>
          <x:t xml:space="preserve">Finite free Stam inequality</x:t>
        </x:is>
      </x:c>
      <x:c r="C33" s="9" t="inlineStr">
        <x:is>
          <x:t xml:space="preserve">Free probability</x:t>
        </x:is>
      </x:c>
      <x:c r="D33" s="15" t="inlineStr">
        <x:is>
          <x:t xml:space="preserve">A5</x:t>
        </x:is>
      </x:c>
      <x:c r="E33" s="9" t="inlineStr">
        <x:is>
          <x:t xml:space="preserve">Jensen → Stam for n=3</x:t>
        </x:is>
      </x:c>
      <x:c r="F33" s="16" t="n">
        <x:v>1</x:v>
      </x:c>
      <x:c r="G33" s="16" t="n">
        <x:v>1</x:v>
      </x:c>
      <x:c r="H33" s="16" t="n">
        <x:v>1</x:v>
      </x:c>
      <x:c r="I33" s="18" t="n">
        <x:v>0</x:v>
      </x:c>
      <x:c r="J33" s="17" t="inlineStr">
        <x:is>
          <x:t xml:space="preserve">Accepted</x:t>
        </x:is>
      </x:c>
      <x:c r="K33" s="15" t="str">
        <x:f>IF(J33="Accepted",IF(I33=1,"Resolve","Local-only win"),IF(J33="Rejected",IF(G33=0,"Invalid inference","Eliminate route"),IF(J33="Partial","Refine gap",IF(J33="Deferred","Undeveloped route","Open bridge"))))</x:f>
        <x:v>Local-only win</x:v>
      </x:c>
      <x:c r="L33" s="15" t="inlineStr">
        <x:is>
          <x:t xml:space="preserve"/>
        </x:is>
      </x:c>
      <x:c r="M33" s="9" t="inlineStr">
        <x:is>
          <x:t xml:space="preserve">Minor presentation issue in the weighted-average step; the corrected inequality still gives the intended n=3 conclusion.</x:t>
        </x:is>
      </x:c>
    </x:row>
    <x:row r="34" ht="120" customHeight="1">
      <x:c r="A34" s="15" t="n">
        <x:v>4</x:v>
      </x:c>
      <x:c r="B34" s="9" t="inlineStr">
        <x:is>
          <x:t xml:space="preserve">Finite free Stam inequality</x:t>
        </x:is>
      </x:c>
      <x:c r="C34" s="9" t="inlineStr">
        <x:is>
          <x:t xml:space="preserve">Free probability</x:t>
        </x:is>
      </x:c>
      <x:c r="D34" s="15" t="inlineStr">
        <x:is>
          <x:t xml:space="preserve">R1</x:t>
        </x:is>
      </x:c>
      <x:c r="E34" s="9" t="inlineStr">
        <x:is>
          <x:t xml:space="preserve">Fractional ⊞₃-powers</x:t>
        </x:is>
      </x:c>
      <x:c r="F34" s="16" t="n">
        <x:v>1</x:v>
      </x:c>
      <x:c r="G34" s="16" t="n">
        <x:v>1</x:v>
      </x:c>
      <x:c r="H34" s="18" t="n">
        <x:v>0</x:v>
      </x:c>
      <x:c r="I34" s="18" t="n">
        <x:v>0</x:v>
      </x:c>
      <x:c r="J34" s="20" t="inlineStr">
        <x:is>
          <x:t xml:space="preserve">Rejected</x:t>
        </x:is>
      </x:c>
      <x:c r="K34" s="15" t="str">
        <x:f>IF(J34="Accepted",IF(I34=1,"Resolve","Local-only win"),IF(J34="Rejected",IF(G34=0,"Invalid inference","Eliminate route"),IF(J34="Partial","Refine gap",IF(J34="Deferred","Undeveloped route","Open bridge"))))</x:f>
        <x:v>Eliminate route</x:v>
      </x:c>
      <x:c r="L34" s="22" t="inlineStr">
        <x:is>
          <x:t xml:space="preserve">Agent</x:t>
        </x:is>
      </x:c>
      <x:c r="M34" s="9" t="inlineStr">
        <x:is>
          <x:t xml:space="preserve">Explicit counterexample verified computationally. This eliminates the heat-flow or semigroup interpolation route.</x:t>
        </x:is>
      </x:c>
    </x:row>
    <x:row r="35" ht="120" customHeight="1">
      <x:c r="A35" s="15" t="n">
        <x:v>4</x:v>
      </x:c>
      <x:c r="B35" s="9" t="inlineStr">
        <x:is>
          <x:t xml:space="preserve">Finite free Stam inequality</x:t>
        </x:is>
      </x:c>
      <x:c r="C35" s="9" t="inlineStr">
        <x:is>
          <x:t xml:space="preserve">Free probability</x:t>
        </x:is>
      </x:c>
      <x:c r="D35" s="15" t="inlineStr">
        <x:is>
          <x:t xml:space="preserve">R2</x:t>
        </x:is>
      </x:c>
      <x:c r="E35" s="9" t="inlineStr">
        <x:is>
          <x:t xml:space="preserve">Invariant theory for n=4</x:t>
        </x:is>
      </x:c>
      <x:c r="F35" s="16" t="n">
        <x:v>1</x:v>
      </x:c>
      <x:c r="G35" s="16" t="n">
        <x:v>1</x:v>
      </x:c>
      <x:c r="H35" s="18" t="n">
        <x:v>0</x:v>
      </x:c>
      <x:c r="I35" s="18" t="n">
        <x:v>0</x:v>
      </x:c>
      <x:c r="J35" s="20" t="inlineStr">
        <x:is>
          <x:t xml:space="preserve">Rejected</x:t>
        </x:is>
      </x:c>
      <x:c r="K35" s="15" t="str">
        <x:f>IF(J35="Accepted",IF(I35=1,"Resolve","Local-only win"),IF(J35="Rejected",IF(G35=0,"Invalid inference","Eliminate route"),IF(J35="Partial","Refine gap",IF(J35="Deferred","Undeveloped route","Open bridge"))))</x:f>
        <x:v>Eliminate route</x:v>
      </x:c>
      <x:c r="L35" s="22" t="inlineStr">
        <x:is>
          <x:t xml:space="preserve">Agent</x:t>
        </x:is>
      </x:c>
      <x:c r="M35" s="9" t="inlineStr">
        <x:is>
          <x:t xml:space="preserve">The obstruction is correctly identified: the n=3 invariant picture does not lift in a simple way to n=4.</x:t>
        </x:is>
      </x:c>
    </x:row>
    <x:row r="36" ht="120" customHeight="1">
      <x:c r="A36" s="15" t="n">
        <x:v>4</x:v>
      </x:c>
      <x:c r="B36" s="9" t="inlineStr">
        <x:is>
          <x:t xml:space="preserve">Finite free Stam inequality</x:t>
        </x:is>
      </x:c>
      <x:c r="C36" s="9" t="inlineStr">
        <x:is>
          <x:t xml:space="preserve">Free probability</x:t>
        </x:is>
      </x:c>
      <x:c r="D36" s="15" t="inlineStr">
        <x:is>
          <x:t xml:space="preserve">P1</x:t>
        </x:is>
      </x:c>
      <x:c r="E36" s="9" t="inlineStr">
        <x:is>
          <x:t xml:space="preserve">Even quartics</x:t>
        </x:is>
      </x:c>
      <x:c r="F36" s="16" t="n">
        <x:v>1</x:v>
      </x:c>
      <x:c r="G36" s="16" t="n">
        <x:v>1</x:v>
      </x:c>
      <x:c r="H36" s="18" t="n">
        <x:v>0</x:v>
      </x:c>
      <x:c r="I36" s="18" t="n">
        <x:v>0</x:v>
      </x:c>
      <x:c r="J36" s="19" t="inlineStr">
        <x:is>
          <x:t xml:space="preserve">Partial</x:t>
        </x:is>
      </x:c>
      <x:c r="K36" s="15" t="str">
        <x:f>IF(J36="Accepted",IF(I36=1,"Resolve","Local-only win"),IF(J36="Rejected",IF(G36=0,"Invalid inference","Eliminate route"),IF(J36="Partial","Refine gap",IF(J36="Deferred","Undeveloped route","Open bridge"))))</x:f>
        <x:v>Refine gap</x:v>
      </x:c>
      <x:c r="L36" s="15" t="inlineStr">
        <x:is>
          <x:t xml:space="preserve"/>
        </x:is>
      </x:c>
      <x:c r="M36" s="9" t="inlineStr">
        <x:is>
          <x:t xml:space="preserve">The reduction to a two-parameter inequality is useful, but the final inequality is not closed.</x:t>
        </x:is>
      </x:c>
    </x:row>
    <x:row r="37" ht="120" customHeight="1">
      <x:c r="A37" s="15" t="n">
        <x:v>4</x:v>
      </x:c>
      <x:c r="B37" s="9" t="inlineStr">
        <x:is>
          <x:t xml:space="preserve">Finite free Stam inequality</x:t>
        </x:is>
      </x:c>
      <x:c r="C37" s="9" t="inlineStr">
        <x:is>
          <x:t xml:space="preserve">Free probability</x:t>
        </x:is>
      </x:c>
      <x:c r="D37" s="15" t="inlineStr">
        <x:is>
          <x:t xml:space="preserve">n=2</x:t>
        </x:is>
      </x:c>
      <x:c r="E37" s="9" t="inlineStr">
        <x:is>
          <x:t xml:space="preserve">Degree 2 (equality)</x:t>
        </x:is>
      </x:c>
      <x:c r="F37" s="16" t="n">
        <x:v>1</x:v>
      </x:c>
      <x:c r="G37" s="16" t="n">
        <x:v>1</x:v>
      </x:c>
      <x:c r="H37" s="16" t="n">
        <x:v>1</x:v>
      </x:c>
      <x:c r="I37" s="18" t="n">
        <x:v>0</x:v>
      </x:c>
      <x:c r="J37" s="17" t="inlineStr">
        <x:is>
          <x:t xml:space="preserve">Accepted</x:t>
        </x:is>
      </x:c>
      <x:c r="K37" s="15" t="str">
        <x:f>IF(J37="Accepted",IF(I37=1,"Resolve","Local-only win"),IF(J37="Rejected",IF(G37=0,"Invalid inference","Eliminate route"),IF(J37="Partial","Refine gap",IF(J37="Deferred","Undeveloped route","Open bridge"))))</x:f>
        <x:v>Local-only win</x:v>
      </x:c>
      <x:c r="L37" s="15" t="inlineStr">
        <x:is>
          <x:t xml:space="preserve"/>
        </x:is>
      </x:c>
      <x:c r="M37" s="9" t="inlineStr">
        <x:is>
          <x:t xml:space="preserve">Verified. This is a degenerate equality case and does not transfer beyond the quadratic setting.</x:t>
        </x:is>
      </x:c>
    </x:row>
    <x:row r="38" ht="120" customHeight="1">
      <x:c r="A38" s="11" t="n">
        <x:v>5</x:v>
      </x:c>
      <x:c r="B38" s="12" t="inlineStr">
        <x:is>
          <x:t xml:space="preserve">O-slice connectivity</x:t>
        </x:is>
      </x:c>
      <x:c r="C38" s="12" t="inlineStr">
        <x:is>
          <x:t xml:space="preserve">Equivariant homotopy theory</x:t>
        </x:is>
      </x:c>
      <x:c r="D38" s="11" t="inlineStr">
        <x:is>
          <x:t xml:space="preserve">T1</x:t>
        </x:is>
      </x:c>
      <x:c r="E38" s="12" t="inlineStr">
        <x:is>
          <x:t xml:space="preserve">Geometric fixed points properties</x:t>
        </x:is>
      </x:c>
      <x:c r="F38" s="13" t="n">
        <x:v>1</x:v>
      </x:c>
      <x:c r="G38" s="13" t="n">
        <x:v>1</x:v>
      </x:c>
      <x:c r="H38" s="13" t="n">
        <x:v>1</x:v>
      </x:c>
      <x:c r="I38" s="13" t="n">
        <x:v>1</x:v>
      </x:c>
      <x:c r="J38" s="14" t="inlineStr">
        <x:is>
          <x:t xml:space="preserve">Accepted</x:t>
        </x:is>
      </x:c>
      <x:c r="K38" s="11" t="str">
        <x:f>IF(J38="Accepted",IF(I38=1,"Resolve","Local-only win"),IF(J38="Rejected",IF(G38=0,"Invalid inference","Eliminate route"),IF(J38="Partial","Refine gap",IF(J38="Deferred","Undeveloped route","Open bridge"))))</x:f>
        <x:v>Resolve</x:v>
      </x:c>
      <x:c r="L38" s="11" t="inlineStr">
        <x:is>
          <x:t xml:space="preserve"/>
        </x:is>
      </x:c>
      <x:c r="M38" s="12" t="inlineStr">
        <x:is>
          <x:t xml:space="preserve">Clean.</x:t>
        </x:is>
      </x:c>
    </x:row>
    <x:row r="39" ht="120" customHeight="1">
      <x:c r="A39" s="15" t="n">
        <x:v>5</x:v>
      </x:c>
      <x:c r="B39" s="9" t="inlineStr">
        <x:is>
          <x:t xml:space="preserve">O-slice connectivity</x:t>
        </x:is>
      </x:c>
      <x:c r="C39" s="9" t="inlineStr">
        <x:is>
          <x:t xml:space="preserve">Equivariant homotopy theory</x:t>
        </x:is>
      </x:c>
      <x:c r="D39" s="15" t="inlineStr">
        <x:is>
          <x:t xml:space="preserve">T2</x:t>
        </x:is>
      </x:c>
      <x:c r="E39" s="9" t="inlineStr">
        <x:is>
          <x:t xml:space="preserve">O-slice cells are compact</x:t>
        </x:is>
      </x:c>
      <x:c r="F39" s="16" t="n">
        <x:v>1</x:v>
      </x:c>
      <x:c r="G39" s="16" t="n">
        <x:v>1</x:v>
      </x:c>
      <x:c r="H39" s="16" t="n">
        <x:v>1</x:v>
      </x:c>
      <x:c r="I39" s="16" t="n">
        <x:v>1</x:v>
      </x:c>
      <x:c r="J39" s="17" t="inlineStr">
        <x:is>
          <x:t xml:space="preserve">Accepted</x:t>
        </x:is>
      </x:c>
      <x:c r="K39" s="15" t="str">
        <x:f>IF(J39="Accepted",IF(I39=1,"Resolve","Local-only win"),IF(J39="Rejected",IF(G39=0,"Invalid inference","Eliminate route"),IF(J39="Partial","Refine gap",IF(J39="Deferred","Undeveloped route","Open bridge"))))</x:f>
        <x:v>Resolve</x:v>
      </x:c>
      <x:c r="L39" s="15" t="inlineStr">
        <x:is>
          <x:t xml:space="preserve"/>
        </x:is>
      </x:c>
      <x:c r="M39" s="9" t="inlineStr">
        <x:is>
          <x:t xml:space="preserve">Clean.</x:t>
        </x:is>
      </x:c>
    </x:row>
    <x:row r="40" ht="120" customHeight="1">
      <x:c r="A40" s="15" t="n">
        <x:v>5</x:v>
      </x:c>
      <x:c r="B40" s="9" t="inlineStr">
        <x:is>
          <x:t xml:space="preserve">O-slice connectivity</x:t>
        </x:is>
      </x:c>
      <x:c r="C40" s="9" t="inlineStr">
        <x:is>
          <x:t xml:space="preserve">Equivariant homotopy theory</x:t>
        </x:is>
      </x:c>
      <x:c r="D40" s="15" t="inlineStr">
        <x:is>
          <x:t xml:space="preserve">T3</x:t>
        </x:is>
      </x:c>
      <x:c r="E40" s="9" t="inlineStr">
        <x:is>
          <x:t xml:space="preserve">Slice localization triangle</x:t>
        </x:is>
      </x:c>
      <x:c r="F40" s="16" t="n">
        <x:v>1</x:v>
      </x:c>
      <x:c r="G40" s="16" t="n">
        <x:v>1</x:v>
      </x:c>
      <x:c r="H40" s="16" t="n">
        <x:v>1</x:v>
      </x:c>
      <x:c r="I40" s="16" t="n">
        <x:v>1</x:v>
      </x:c>
      <x:c r="J40" s="17" t="inlineStr">
        <x:is>
          <x:t xml:space="preserve">Accepted</x:t>
        </x:is>
      </x:c>
      <x:c r="K40" s="15" t="str">
        <x:f>IF(J40="Accepted",IF(I40=1,"Resolve","Local-only win"),IF(J40="Rejected",IF(G40=0,"Invalid inference","Eliminate route"),IF(J40="Partial","Refine gap",IF(J40="Deferred","Undeveloped route","Open bridge"))))</x:f>
        <x:v>Resolve</x:v>
      </x:c>
      <x:c r="L40" s="15" t="inlineStr">
        <x:is>
          <x:t xml:space="preserve"/>
        </x:is>
      </x:c>
      <x:c r="M40" s="9" t="inlineStr">
        <x:is>
          <x:t xml:space="preserve">The argument is standard for cellular filtrations, but it should be cited explicitly in a public release.</x:t>
        </x:is>
      </x:c>
    </x:row>
    <x:row r="41" ht="120" customHeight="1">
      <x:c r="A41" s="15" t="n">
        <x:v>5</x:v>
      </x:c>
      <x:c r="B41" s="9" t="inlineStr">
        <x:is>
          <x:t xml:space="preserve">O-slice connectivity</x:t>
        </x:is>
      </x:c>
      <x:c r="C41" s="9" t="inlineStr">
        <x:is>
          <x:t xml:space="preserve">Equivariant homotopy theory</x:t>
        </x:is>
      </x:c>
      <x:c r="D41" s="15" t="inlineStr">
        <x:is>
          <x:t xml:space="preserve">T4</x:t>
        </x:is>
      </x:c>
      <x:c r="E41" s="9" t="inlineStr">
        <x:is>
          <x:t xml:space="preserve">Detection lemma (Mackey + minimality)</x:t>
        </x:is>
      </x:c>
      <x:c r="F41" s="16" t="n">
        <x:v>1</x:v>
      </x:c>
      <x:c r="G41" s="16" t="n">
        <x:v>1</x:v>
      </x:c>
      <x:c r="H41" s="16" t="n">
        <x:v>1</x:v>
      </x:c>
      <x:c r="I41" s="16" t="n">
        <x:v>1</x:v>
      </x:c>
      <x:c r="J41" s="17" t="inlineStr">
        <x:is>
          <x:t xml:space="preserve">Accepted</x:t>
        </x:is>
      </x:c>
      <x:c r="K41" s="15" t="str">
        <x:f>IF(J41="Accepted",IF(I41=1,"Resolve","Local-only win"),IF(J41="Rejected",IF(G41=0,"Invalid inference","Eliminate route"),IF(J41="Partial","Refine gap",IF(J41="Deferred","Undeveloped route","Open bridge"))))</x:f>
        <x:v>Resolve</x:v>
      </x:c>
      <x:c r="L41" s="15" t="inlineStr">
        <x:is>
          <x:t xml:space="preserve"/>
        </x:is>
      </x:c>
      <x:c r="M41" s="9" t="inlineStr">
        <x:is>
          <x:t xml:space="preserve">Clean and structurally important.</x:t>
        </x:is>
      </x:c>
    </x:row>
    <x:row r="42" ht="120" customHeight="1">
      <x:c r="A42" s="15" t="n">
        <x:v>5</x:v>
      </x:c>
      <x:c r="B42" s="9" t="inlineStr">
        <x:is>
          <x:t xml:space="preserve">O-slice connectivity</x:t>
        </x:is>
      </x:c>
      <x:c r="C42" s="9" t="inlineStr">
        <x:is>
          <x:t xml:space="preserve">Equivariant homotopy theory</x:t>
        </x:is>
      </x:c>
      <x:c r="D42" s="15" t="inlineStr">
        <x:is>
          <x:t xml:space="preserve">T5</x:t>
        </x:is>
      </x:c>
      <x:c r="E42" s="9" t="inlineStr">
        <x:is>
          <x:t xml:space="preserve">(⇒) Forward direction</x:t>
        </x:is>
      </x:c>
      <x:c r="F42" s="16" t="n">
        <x:v>1</x:v>
      </x:c>
      <x:c r="G42" s="18" t="n">
        <x:v>0</x:v>
      </x:c>
      <x:c r="H42" s="18" t="n">
        <x:v>0</x:v>
      </x:c>
      <x:c r="I42" s="18" t="n">
        <x:v>0</x:v>
      </x:c>
      <x:c r="J42" s="20" t="inlineStr">
        <x:is>
          <x:t xml:space="preserve">Rejected</x:t>
        </x:is>
      </x:c>
      <x:c r="K42" s="15" t="str">
        <x:f>IF(J42="Accepted",IF(I42=1,"Resolve","Local-only win"),IF(J42="Rejected",IF(G42=0,"Invalid inference","Eliminate route"),IF(J42="Partial","Refine gap",IF(J42="Deferred","Undeveloped route","Open bridge"))))</x:f>
        <x:v>Invalid inference</x:v>
      </x:c>
      <x:c r="L42" s="21" t="inlineStr">
        <x:is>
          <x:t xml:space="preserve">Audit</x:t>
        </x:is>
      </x:c>
      <x:c r="M42" s="9" t="inlineStr">
        <x:is>
          <x:t xml:space="preserve">The forward argument substitutes mu_O(H) where mu_O(H') is required. Because mu_O is not monotone for incomplete transfer systems, the inference is invalid even though the theorem itself may still be true.</x:t>
        </x:is>
      </x:c>
    </x:row>
    <x:row r="43" ht="120" customHeight="1">
      <x:c r="A43" s="15" t="n">
        <x:v>5</x:v>
      </x:c>
      <x:c r="B43" s="9" t="inlineStr">
        <x:is>
          <x:t xml:space="preserve">O-slice connectivity</x:t>
        </x:is>
      </x:c>
      <x:c r="C43" s="9" t="inlineStr">
        <x:is>
          <x:t xml:space="preserve">Equivariant homotopy theory</x:t>
        </x:is>
      </x:c>
      <x:c r="D43" s="15" t="inlineStr">
        <x:is>
          <x:t xml:space="preserve">T6</x:t>
        </x:is>
      </x:c>
      <x:c r="E43" s="9" t="inlineStr">
        <x:is>
          <x:t xml:space="preserve">(⇐) Backward direction</x:t>
        </x:is>
      </x:c>
      <x:c r="F43" s="16" t="n">
        <x:v>1</x:v>
      </x:c>
      <x:c r="G43" s="16" t="n">
        <x:v>1</x:v>
      </x:c>
      <x:c r="H43" s="16" t="n">
        <x:v>1</x:v>
      </x:c>
      <x:c r="I43" s="16" t="n">
        <x:v>1</x:v>
      </x:c>
      <x:c r="J43" s="17" t="inlineStr">
        <x:is>
          <x:t xml:space="preserve">Accepted</x:t>
        </x:is>
      </x:c>
      <x:c r="K43" s="15" t="str">
        <x:f>IF(J43="Accepted",IF(I43=1,"Resolve","Local-only win"),IF(J43="Rejected",IF(G43=0,"Invalid inference","Eliminate route"),IF(J43="Partial","Refine gap",IF(J43="Deferred","Undeveloped route","Open bridge"))))</x:f>
        <x:v>Resolve</x:v>
      </x:c>
      <x:c r="L43" s="15" t="inlineStr">
        <x:is>
          <x:t xml:space="preserve"/>
        </x:is>
      </x:c>
      <x:c r="M43" s="9" t="inlineStr">
        <x:is>
          <x:t xml:space="preserve">Clean.</x:t>
        </x:is>
      </x:c>
    </x:row>
    <x:row r="44" ht="120" customHeight="1">
      <x:c r="A44" s="11" t="n">
        <x:v>6</x:v>
      </x:c>
      <x:c r="B44" s="12" t="inlineStr">
        <x:is>
          <x:t xml:space="preserve">Schur-complement certificates</x:t>
        </x:is>
      </x:c>
      <x:c r="C44" s="12" t="inlineStr">
        <x:is>
          <x:t xml:space="preserve">Spectral graph theory and algorithms</x:t>
        </x:is>
      </x:c>
      <x:c r="D44" s="11" t="inlineStr">
        <x:is>
          <x:t xml:space="preserve">T1</x:t>
        </x:is>
      </x:c>
      <x:c r="E44" s="12" t="inlineStr">
        <x:is>
          <x:t xml:space="preserve">Schur complement characterization</x:t>
        </x:is>
      </x:c>
      <x:c r="F44" s="13" t="n">
        <x:v>1</x:v>
      </x:c>
      <x:c r="G44" s="13" t="n">
        <x:v>1</x:v>
      </x:c>
      <x:c r="H44" s="13" t="n">
        <x:v>1</x:v>
      </x:c>
      <x:c r="I44" s="13" t="n">
        <x:v>1</x:v>
      </x:c>
      <x:c r="J44" s="14" t="inlineStr">
        <x:is>
          <x:t xml:space="preserve">Accepted</x:t>
        </x:is>
      </x:c>
      <x:c r="K44" s="11" t="str">
        <x:f>IF(J44="Accepted",IF(I44=1,"Resolve","Local-only win"),IF(J44="Rejected",IF(G44=0,"Invalid inference","Eliminate route"),IF(J44="Partial","Refine gap",IF(J44="Deferred","Undeveloped route","Open bridge"))))</x:f>
        <x:v>Resolve</x:v>
      </x:c>
      <x:c r="L44" s="11" t="inlineStr">
        <x:is>
          <x:t xml:space="preserve"/>
        </x:is>
      </x:c>
      <x:c r="M44" s="12" t="inlineStr">
        <x:is>
          <x:t xml:space="preserve">Clean.</x:t>
        </x:is>
      </x:c>
    </x:row>
    <x:row r="45" ht="120" customHeight="1">
      <x:c r="A45" s="15" t="n">
        <x:v>6</x:v>
      </x:c>
      <x:c r="B45" s="9" t="inlineStr">
        <x:is>
          <x:t xml:space="preserve">Schur-complement certificates</x:t>
        </x:is>
      </x:c>
      <x:c r="C45" s="9" t="inlineStr">
        <x:is>
          <x:t xml:space="preserve">Spectral graph theory and algorithms</x:t>
        </x:is>
      </x:c>
      <x:c r="D45" s="15" t="inlineStr">
        <x:is>
          <x:t xml:space="preserve">T2</x:t>
        </x:is>
      </x:c>
      <x:c r="E45" s="9" t="inlineStr">
        <x:is>
          <x:t xml:space="preserve">Effective cut functional</x:t>
        </x:is>
      </x:c>
      <x:c r="F45" s="16" t="n">
        <x:v>1</x:v>
      </x:c>
      <x:c r="G45" s="16" t="n">
        <x:v>1</x:v>
      </x:c>
      <x:c r="H45" s="16" t="n">
        <x:v>1</x:v>
      </x:c>
      <x:c r="I45" s="16" t="n">
        <x:v>1</x:v>
      </x:c>
      <x:c r="J45" s="17" t="inlineStr">
        <x:is>
          <x:t xml:space="preserve">Accepted</x:t>
        </x:is>
      </x:c>
      <x:c r="K45" s="15" t="str">
        <x:f>IF(J45="Accepted",IF(I45=1,"Resolve","Local-only win"),IF(J45="Rejected",IF(G45=0,"Invalid inference","Eliminate route"),IF(J45="Partial","Refine gap",IF(J45="Deferred","Undeveloped route","Open bridge"))))</x:f>
        <x:v>Resolve</x:v>
      </x:c>
      <x:c r="L45" s="15" t="inlineStr">
        <x:is>
          <x:t xml:space="preserve"/>
        </x:is>
      </x:c>
      <x:c r="M45" s="9" t="inlineStr">
        <x:is>
          <x:t xml:space="preserve">Clean.</x:t>
        </x:is>
      </x:c>
    </x:row>
    <x:row r="46" ht="120" customHeight="1">
      <x:c r="A46" s="15" t="n">
        <x:v>6</x:v>
      </x:c>
      <x:c r="B46" s="9" t="inlineStr">
        <x:is>
          <x:t xml:space="preserve">Schur-complement certificates</x:t>
        </x:is>
      </x:c>
      <x:c r="C46" s="9" t="inlineStr">
        <x:is>
          <x:t xml:space="preserve">Spectral graph theory and algorithms</x:t>
        </x:is>
      </x:c>
      <x:c r="D46" s="15" t="inlineStr">
        <x:is>
          <x:t xml:space="preserve">T3</x:t>
        </x:is>
      </x:c>
      <x:c r="E46" s="9" t="inlineStr">
        <x:is>
          <x:t xml:space="preserve">Counterexample (raw cut-test)</x:t>
        </x:is>
      </x:c>
      <x:c r="F46" s="16" t="n">
        <x:v>1</x:v>
      </x:c>
      <x:c r="G46" s="16" t="n">
        <x:v>1</x:v>
      </x:c>
      <x:c r="H46" s="16" t="n">
        <x:v>1</x:v>
      </x:c>
      <x:c r="I46" s="16" t="n">
        <x:v>1</x:v>
      </x:c>
      <x:c r="J46" s="17" t="inlineStr">
        <x:is>
          <x:t xml:space="preserve">Accepted</x:t>
        </x:is>
      </x:c>
      <x:c r="K46" s="15" t="str">
        <x:f>IF(J46="Accepted",IF(I46=1,"Resolve","Local-only win"),IF(J46="Rejected",IF(G46=0,"Invalid inference","Eliminate route"),IF(J46="Partial","Refine gap",IF(J46="Deferred","Undeveloped route","Open bridge"))))</x:f>
        <x:v>Resolve</x:v>
      </x:c>
      <x:c r="L46" s="15" t="inlineStr">
        <x:is>
          <x:t xml:space="preserve"/>
        </x:is>
      </x:c>
      <x:c r="M46" s="9" t="inlineStr">
        <x:is>
          <x:t xml:space="preserve">Clean.</x:t>
        </x:is>
      </x:c>
    </x:row>
    <x:row r="47" ht="120" customHeight="1">
      <x:c r="A47" s="15" t="n">
        <x:v>6</x:v>
      </x:c>
      <x:c r="B47" s="9" t="inlineStr">
        <x:is>
          <x:t xml:space="preserve">Schur-complement certificates</x:t>
        </x:is>
      </x:c>
      <x:c r="C47" s="9" t="inlineStr">
        <x:is>
          <x:t xml:space="preserve">Spectral graph theory and algorithms</x:t>
        </x:is>
      </x:c>
      <x:c r="D47" s="15" t="inlineStr">
        <x:is>
          <x:t xml:space="preserve">T4</x:t>
        </x:is>
      </x:c>
      <x:c r="E47" s="9" t="inlineStr">
        <x:is>
          <x:t xml:space="preserve">Two-layer bridging bound</x:t>
        </x:is>
      </x:c>
      <x:c r="F47" s="16" t="n">
        <x:v>1</x:v>
      </x:c>
      <x:c r="G47" s="16" t="n">
        <x:v>1</x:v>
      </x:c>
      <x:c r="H47" s="16" t="n">
        <x:v>1</x:v>
      </x:c>
      <x:c r="I47" s="16" t="n">
        <x:v>1</x:v>
      </x:c>
      <x:c r="J47" s="17" t="inlineStr">
        <x:is>
          <x:t xml:space="preserve">Accepted</x:t>
        </x:is>
      </x:c>
      <x:c r="K47" s="15" t="str">
        <x:f>IF(J47="Accepted",IF(I47=1,"Resolve","Local-only win"),IF(J47="Rejected",IF(G47=0,"Invalid inference","Eliminate route"),IF(J47="Partial","Refine gap",IF(J47="Deferred","Undeveloped route","Open bridge"))))</x:f>
        <x:v>Resolve</x:v>
      </x:c>
      <x:c r="L47" s="15" t="inlineStr">
        <x:is>
          <x:t xml:space="preserve"/>
        </x:is>
      </x:c>
      <x:c r="M47" s="9" t="inlineStr">
        <x:is>
          <x:t xml:space="preserve">Clean.</x:t>
        </x:is>
      </x:c>
    </x:row>
    <x:row r="48" ht="120" customHeight="1">
      <x:c r="A48" s="15" t="n">
        <x:v>6</x:v>
      </x:c>
      <x:c r="B48" s="9" t="inlineStr">
        <x:is>
          <x:t xml:space="preserve">Schur-complement certificates</x:t>
        </x:is>
      </x:c>
      <x:c r="C48" s="9" t="inlineStr">
        <x:is>
          <x:t xml:space="preserve">Spectral graph theory and algorithms</x:t>
        </x:is>
      </x:c>
      <x:c r="D48" s="15" t="inlineStr">
        <x:is>
          <x:t xml:space="preserve">T5</x:t>
        </x:is>
      </x:c>
      <x:c r="E48" s="9" t="inlineStr">
        <x:is>
          <x:t xml:space="preserve">Threshold decomposition</x:t>
        </x:is>
      </x:c>
      <x:c r="F48" s="16" t="n">
        <x:v>1</x:v>
      </x:c>
      <x:c r="G48" s="16" t="n">
        <x:v>1</x:v>
      </x:c>
      <x:c r="H48" s="16" t="n">
        <x:v>1</x:v>
      </x:c>
      <x:c r="I48" s="16" t="n">
        <x:v>1</x:v>
      </x:c>
      <x:c r="J48" s="17" t="inlineStr">
        <x:is>
          <x:t xml:space="preserve">Accepted</x:t>
        </x:is>
      </x:c>
      <x:c r="K48" s="15" t="str">
        <x:f>IF(J48="Accepted",IF(I48=1,"Resolve","Local-only win"),IF(J48="Rejected",IF(G48=0,"Invalid inference","Eliminate route"),IF(J48="Partial","Refine gap",IF(J48="Deferred","Undeveloped route","Open bridge"))))</x:f>
        <x:v>Resolve</x:v>
      </x:c>
      <x:c r="L48" s="15" t="inlineStr">
        <x:is>
          <x:t xml:space="preserve"/>
        </x:is>
      </x:c>
      <x:c r="M48" s="9" t="inlineStr">
        <x:is>
          <x:t xml:space="preserve">Clean.</x:t>
        </x:is>
      </x:c>
    </x:row>
    <x:row r="49" ht="120" customHeight="1">
      <x:c r="A49" s="15" t="n">
        <x:v>6</x:v>
      </x:c>
      <x:c r="B49" s="9" t="inlineStr">
        <x:is>
          <x:t xml:space="preserve">Schur-complement certificates</x:t>
        </x:is>
      </x:c>
      <x:c r="C49" s="9" t="inlineStr">
        <x:is>
          <x:t xml:space="preserve">Spectral graph theory and algorithms</x:t>
        </x:is>
      </x:c>
      <x:c r="D49" s="15" t="inlineStr">
        <x:is>
          <x:t xml:space="preserve">T6</x:t>
        </x:is>
      </x:c>
      <x:c r="E49" s="9" t="inlineStr">
        <x:is>
          <x:t xml:space="preserve">Cut-test ⇒ m-level domination</x:t>
        </x:is>
      </x:c>
      <x:c r="F49" s="16" t="n">
        <x:v>1</x:v>
      </x:c>
      <x:c r="G49" s="16" t="n">
        <x:v>1</x:v>
      </x:c>
      <x:c r="H49" s="16" t="n">
        <x:v>1</x:v>
      </x:c>
      <x:c r="I49" s="18" t="n">
        <x:v>0</x:v>
      </x:c>
      <x:c r="J49" s="17" t="inlineStr">
        <x:is>
          <x:t xml:space="preserve">Accepted</x:t>
        </x:is>
      </x:c>
      <x:c r="K49" s="15" t="str">
        <x:f>IF(J49="Accepted",IF(I49=1,"Resolve","Local-only win"),IF(J49="Rejected",IF(G49=0,"Invalid inference","Eliminate route"),IF(J49="Partial","Refine gap",IF(J49="Deferred","Undeveloped route","Open bridge"))))</x:f>
        <x:v>Local-only win</x:v>
      </x:c>
      <x:c r="L49" s="15" t="inlineStr">
        <x:is>
          <x:t xml:space="preserve"/>
        </x:is>
      </x:c>
      <x:c r="M49" s="9" t="inlineStr">
        <x:is>
          <x:t xml:space="preserve">The proof closes at fixed scale, but one multiplicative factor prevents full transfer to the strongest target statement.</x:t>
        </x:is>
      </x:c>
    </x:row>
    <x:row r="50" ht="120" customHeight="1">
      <x:c r="A50" s="15" t="n">
        <x:v>6</x:v>
      </x:c>
      <x:c r="B50" s="9" t="inlineStr">
        <x:is>
          <x:t xml:space="preserve">Schur-complement certificates</x:t>
        </x:is>
      </x:c>
      <x:c r="C50" s="9" t="inlineStr">
        <x:is>
          <x:t xml:space="preserve">Spectral graph theory and algorithms</x:t>
        </x:is>
      </x:c>
      <x:c r="D50" s="15" t="inlineStr">
        <x:is>
          <x:t xml:space="preserve">T7</x:t>
        </x:is>
      </x:c>
      <x:c r="E50" s="9" t="inlineStr">
        <x:is>
          <x:t xml:space="preserve">Fixed-T probabilistic certificate</x:t>
        </x:is>
      </x:c>
      <x:c r="F50" s="16" t="n">
        <x:v>1</x:v>
      </x:c>
      <x:c r="G50" s="16" t="n">
        <x:v>1</x:v>
      </x:c>
      <x:c r="H50" s="16" t="n">
        <x:v>1</x:v>
      </x:c>
      <x:c r="I50" s="18" t="n">
        <x:v>0</x:v>
      </x:c>
      <x:c r="J50" s="17" t="inlineStr">
        <x:is>
          <x:t xml:space="preserve">Accepted</x:t>
        </x:is>
      </x:c>
      <x:c r="K50" s="15" t="str">
        <x:f>IF(J50="Accepted",IF(I50=1,"Resolve","Local-only win"),IF(J50="Rejected",IF(G50=0,"Invalid inference","Eliminate route"),IF(J50="Partial","Refine gap",IF(J50="Deferred","Undeveloped route","Open bridge"))))</x:f>
        <x:v>Local-only win</x:v>
      </x:c>
      <x:c r="L50" s="15" t="inlineStr">
        <x:is>
          <x:t xml:space="preserve"/>
        </x:is>
      </x:c>
      <x:c r="M50" s="9" t="inlineStr">
        <x:is>
          <x:t xml:space="preserve">Valid fixed-parameter certificate, but it does not yet transfer to a variable-parameter version.</x:t>
        </x:is>
      </x:c>
    </x:row>
    <x:row r="51" ht="120" customHeight="1">
      <x:c r="A51" s="11" t="n">
        <x:v>7</x:v>
      </x:c>
      <x:c r="B51" s="12" t="inlineStr">
        <x:is>
          <x:t xml:space="preserve">Q-acyclic universal covers</x:t>
        </x:is>
      </x:c>
      <x:c r="C51" s="12" t="inlineStr">
        <x:is>
          <x:t xml:space="preserve">Topology and geometric group theory</x:t>
        </x:is>
      </x:c>
      <x:c r="D51" s="11" t="inlineStr">
        <x:is>
          <x:t xml:space="preserve">T1</x:t>
        </x:is>
      </x:c>
      <x:c r="E51" s="12" t="inlineStr">
        <x:is>
          <x:t xml:space="preserve">Free module structure</x:t>
        </x:is>
      </x:c>
      <x:c r="F51" s="13" t="n">
        <x:v>1</x:v>
      </x:c>
      <x:c r="G51" s="13" t="n">
        <x:v>1</x:v>
      </x:c>
      <x:c r="H51" s="13" t="n">
        <x:v>1</x:v>
      </x:c>
      <x:c r="I51" s="13" t="n">
        <x:v>1</x:v>
      </x:c>
      <x:c r="J51" s="14" t="inlineStr">
        <x:is>
          <x:t xml:space="preserve">Accepted</x:t>
        </x:is>
      </x:c>
      <x:c r="K51" s="11" t="str">
        <x:f>IF(J51="Accepted",IF(I51=1,"Resolve","Local-only win"),IF(J51="Rejected",IF(G51=0,"Invalid inference","Eliminate route"),IF(J51="Partial","Refine gap",IF(J51="Deferred","Undeveloped route","Open bridge"))))</x:f>
        <x:v>Resolve</x:v>
      </x:c>
      <x:c r="L51" s="11" t="inlineStr">
        <x:is>
          <x:t xml:space="preserve"/>
        </x:is>
      </x:c>
      <x:c r="M51" s="12" t="inlineStr">
        <x:is>
          <x:t xml:space="preserve">Clean.</x:t>
        </x:is>
      </x:c>
    </x:row>
    <x:row r="52" ht="120" customHeight="1">
      <x:c r="A52" s="15" t="n">
        <x:v>7</x:v>
      </x:c>
      <x:c r="B52" s="9" t="inlineStr">
        <x:is>
          <x:t xml:space="preserve">Q-acyclic universal covers</x:t>
        </x:is>
      </x:c>
      <x:c r="C52" s="9" t="inlineStr">
        <x:is>
          <x:t xml:space="preserve">Topology and geometric group theory</x:t>
        </x:is>
      </x:c>
      <x:c r="D52" s="15" t="inlineStr">
        <x:is>
          <x:t xml:space="preserve">T2</x:t>
        </x:is>
      </x:c>
      <x:c r="E52" s="9" t="inlineStr">
        <x:is>
          <x:t xml:space="preserve">Q-acyclic ⇒ free resolution</x:t>
        </x:is>
      </x:c>
      <x:c r="F52" s="16" t="n">
        <x:v>1</x:v>
      </x:c>
      <x:c r="G52" s="16" t="n">
        <x:v>1</x:v>
      </x:c>
      <x:c r="H52" s="16" t="n">
        <x:v>1</x:v>
      </x:c>
      <x:c r="I52" s="16" t="n">
        <x:v>1</x:v>
      </x:c>
      <x:c r="J52" s="17" t="inlineStr">
        <x:is>
          <x:t xml:space="preserve">Accepted</x:t>
        </x:is>
      </x:c>
      <x:c r="K52" s="15" t="str">
        <x:f>IF(J52="Accepted",IF(I52=1,"Resolve","Local-only win"),IF(J52="Rejected",IF(G52=0,"Invalid inference","Eliminate route"),IF(J52="Partial","Refine gap",IF(J52="Deferred","Undeveloped route","Open bridge"))))</x:f>
        <x:v>Resolve</x:v>
      </x:c>
      <x:c r="L52" s="15" t="inlineStr">
        <x:is>
          <x:t xml:space="preserve"/>
        </x:is>
      </x:c>
      <x:c r="M52" s="9" t="inlineStr">
        <x:is>
          <x:t xml:space="preserve">Clean.</x:t>
        </x:is>
      </x:c>
    </x:row>
    <x:row r="53" ht="120" customHeight="1">
      <x:c r="A53" s="15" t="n">
        <x:v>7</x:v>
      </x:c>
      <x:c r="B53" s="9" t="inlineStr">
        <x:is>
          <x:t xml:space="preserve">Q-acyclic universal covers</x:t>
        </x:is>
      </x:c>
      <x:c r="C53" s="9" t="inlineStr">
        <x:is>
          <x:t xml:space="preserve">Topology and geometric group theory</x:t>
        </x:is>
      </x:c>
      <x:c r="D53" s="15" t="inlineStr">
        <x:is>
          <x:t xml:space="preserve">T3</x:t>
        </x:is>
      </x:c>
      <x:c r="E53" s="9" t="inlineStr">
        <x:is>
          <x:t xml:space="preserve">χ(Γ)=χ(M)∈Z</x:t>
        </x:is>
      </x:c>
      <x:c r="F53" s="16" t="n">
        <x:v>1</x:v>
      </x:c>
      <x:c r="G53" s="16" t="n">
        <x:v>1</x:v>
      </x:c>
      <x:c r="H53" s="16" t="n">
        <x:v>1</x:v>
      </x:c>
      <x:c r="I53" s="16" t="n">
        <x:v>1</x:v>
      </x:c>
      <x:c r="J53" s="17" t="inlineStr">
        <x:is>
          <x:t xml:space="preserve">Accepted</x:t>
        </x:is>
      </x:c>
      <x:c r="K53" s="15" t="str">
        <x:f>IF(J53="Accepted",IF(I53=1,"Resolve","Local-only win"),IF(J53="Rejected",IF(G53=0,"Invalid inference","Eliminate route"),IF(J53="Partial","Refine gap",IF(J53="Deferred","Undeveloped route","Open bridge"))))</x:f>
        <x:v>Resolve</x:v>
      </x:c>
      <x:c r="L53" s="15" t="inlineStr">
        <x:is>
          <x:t xml:space="preserve"/>
        </x:is>
      </x:c>
      <x:c r="M53" s="9" t="inlineStr">
        <x:is>
          <x:t xml:space="preserve">Clean.</x:t>
        </x:is>
      </x:c>
    </x:row>
    <x:row r="54" ht="120" customHeight="1">
      <x:c r="A54" s="15" t="n">
        <x:v>7</x:v>
      </x:c>
      <x:c r="B54" s="9" t="inlineStr">
        <x:is>
          <x:t xml:space="preserve">Q-acyclic universal covers</x:t>
        </x:is>
      </x:c>
      <x:c r="C54" s="9" t="inlineStr">
        <x:is>
          <x:t xml:space="preserve">Topology and geometric group theory</x:t>
        </x:is>
      </x:c>
      <x:c r="D54" s="15" t="inlineStr">
        <x:is>
          <x:t xml:space="preserve">T4</x:t>
        </x:is>
      </x:c>
      <x:c r="E54" s="9" t="inlineStr">
        <x:is>
          <x:t xml:space="preserve">Index scaling</x:t>
        </x:is>
      </x:c>
      <x:c r="F54" s="16" t="n">
        <x:v>1</x:v>
      </x:c>
      <x:c r="G54" s="16" t="n">
        <x:v>1</x:v>
      </x:c>
      <x:c r="H54" s="16" t="n">
        <x:v>1</x:v>
      </x:c>
      <x:c r="I54" s="16" t="n">
        <x:v>1</x:v>
      </x:c>
      <x:c r="J54" s="17" t="inlineStr">
        <x:is>
          <x:t xml:space="preserve">Accepted</x:t>
        </x:is>
      </x:c>
      <x:c r="K54" s="15" t="str">
        <x:f>IF(J54="Accepted",IF(I54=1,"Resolve","Local-only win"),IF(J54="Rejected",IF(G54=0,"Invalid inference","Eliminate route"),IF(J54="Partial","Refine gap",IF(J54="Deferred","Undeveloped route","Open bridge"))))</x:f>
        <x:v>Resolve</x:v>
      </x:c>
      <x:c r="L54" s="15" t="inlineStr">
        <x:is>
          <x:t xml:space="preserve"/>
        </x:is>
      </x:c>
      <x:c r="M54" s="9" t="inlineStr">
        <x:is>
          <x:t xml:space="preserve">Clean.</x:t>
        </x:is>
      </x:c>
    </x:row>
    <x:row r="55" ht="120" customHeight="1">
      <x:c r="A55" s="15" t="n">
        <x:v>7</x:v>
      </x:c>
      <x:c r="B55" s="9" t="inlineStr">
        <x:is>
          <x:t xml:space="preserve">Q-acyclic universal covers</x:t>
        </x:is>
      </x:c>
      <x:c r="C55" s="9" t="inlineStr">
        <x:is>
          <x:t xml:space="preserve">Topology and geometric group theory</x:t>
        </x:is>
      </x:c>
      <x:c r="D55" s="15" t="inlineStr">
        <x:is>
          <x:t xml:space="preserve">T5</x:t>
        </x:is>
      </x:c>
      <x:c r="E55" s="9" t="inlineStr">
        <x:is>
          <x:t xml:space="preserve">|J| divides [Γ:H]</x:t>
        </x:is>
      </x:c>
      <x:c r="F55" s="16" t="n">
        <x:v>1</x:v>
      </x:c>
      <x:c r="G55" s="16" t="n">
        <x:v>1</x:v>
      </x:c>
      <x:c r="H55" s="16" t="n">
        <x:v>1</x:v>
      </x:c>
      <x:c r="I55" s="16" t="n">
        <x:v>1</x:v>
      </x:c>
      <x:c r="J55" s="17" t="inlineStr">
        <x:is>
          <x:t xml:space="preserve">Accepted</x:t>
        </x:is>
      </x:c>
      <x:c r="K55" s="15" t="str">
        <x:f>IF(J55="Accepted",IF(I55=1,"Resolve","Local-only win"),IF(J55="Rejected",IF(G55=0,"Invalid inference","Eliminate route"),IF(J55="Partial","Refine gap",IF(J55="Deferred","Undeveloped route","Open bridge"))))</x:f>
        <x:v>Resolve</x:v>
      </x:c>
      <x:c r="L55" s="15" t="inlineStr">
        <x:is>
          <x:t xml:space="preserve"/>
        </x:is>
      </x:c>
      <x:c r="M55" s="9" t="inlineStr">
        <x:is>
          <x:t xml:space="preserve">Clean.</x:t>
        </x:is>
      </x:c>
    </x:row>
    <x:row r="56" ht="120" customHeight="1">
      <x:c r="A56" s="15" t="n">
        <x:v>7</x:v>
      </x:c>
      <x:c r="B56" s="9" t="inlineStr">
        <x:is>
          <x:t xml:space="preserve">Q-acyclic universal covers</x:t>
        </x:is>
      </x:c>
      <x:c r="C56" s="9" t="inlineStr">
        <x:is>
          <x:t xml:space="preserve">Topology and geometric group theory</x:t>
        </x:is>
      </x:c>
      <x:c r="D56" s="15" t="inlineStr">
        <x:is>
          <x:t xml:space="preserve">T6</x:t>
        </x:is>
      </x:c>
      <x:c r="E56" s="9" t="inlineStr">
        <x:is>
          <x:t xml:space="preserve">Lifting exact sequence</x:t>
        </x:is>
      </x:c>
      <x:c r="F56" s="16" t="n">
        <x:v>1</x:v>
      </x:c>
      <x:c r="G56" s="16" t="n">
        <x:v>1</x:v>
      </x:c>
      <x:c r="H56" s="16" t="n">
        <x:v>1</x:v>
      </x:c>
      <x:c r="I56" s="16" t="n">
        <x:v>1</x:v>
      </x:c>
      <x:c r="J56" s="17" t="inlineStr">
        <x:is>
          <x:t xml:space="preserve">Accepted</x:t>
        </x:is>
      </x:c>
      <x:c r="K56" s="15" t="str">
        <x:f>IF(J56="Accepted",IF(I56=1,"Resolve","Local-only win"),IF(J56="Rejected",IF(G56=0,"Invalid inference","Eliminate route"),IF(J56="Partial","Refine gap",IF(J56="Deferred","Undeveloped route","Open bridge"))))</x:f>
        <x:v>Resolve</x:v>
      </x:c>
      <x:c r="L56" s="15" t="inlineStr">
        <x:is>
          <x:t xml:space="preserve"/>
        </x:is>
      </x:c>
      <x:c r="M56" s="9" t="inlineStr">
        <x:is>
          <x:t xml:space="preserve">Clean.</x:t>
        </x:is>
      </x:c>
    </x:row>
    <x:row r="57" ht="120" customHeight="1">
      <x:c r="A57" s="15" t="n">
        <x:v>7</x:v>
      </x:c>
      <x:c r="B57" s="9" t="inlineStr">
        <x:is>
          <x:t xml:space="preserve">Q-acyclic universal covers</x:t>
        </x:is>
      </x:c>
      <x:c r="C57" s="9" t="inlineStr">
        <x:is>
          <x:t xml:space="preserve">Topology and geometric group theory</x:t>
        </x:is>
      </x:c>
      <x:c r="D57" s="15" t="inlineStr">
        <x:is>
          <x:t xml:space="preserve">T7</x:t>
        </x:is>
      </x:c>
      <x:c r="E57" s="9" t="inlineStr">
        <x:is>
          <x:t xml:space="preserve">Odd Euler + involution ⇒ χ=e(S)/2</x:t>
        </x:is>
      </x:c>
      <x:c r="F57" s="16" t="n">
        <x:v>1</x:v>
      </x:c>
      <x:c r="G57" s="16" t="n">
        <x:v>1</x:v>
      </x:c>
      <x:c r="H57" s="16" t="n">
        <x:v>1</x:v>
      </x:c>
      <x:c r="I57" s="16" t="n">
        <x:v>1</x:v>
      </x:c>
      <x:c r="J57" s="17" t="inlineStr">
        <x:is>
          <x:t xml:space="preserve">Accepted</x:t>
        </x:is>
      </x:c>
      <x:c r="K57" s="15" t="str">
        <x:f>IF(J57="Accepted",IF(I57=1,"Resolve","Local-only win"),IF(J57="Rejected",IF(G57=0,"Invalid inference","Eliminate route"),IF(J57="Partial","Refine gap",IF(J57="Deferred","Undeveloped route","Open bridge"))))</x:f>
        <x:v>Resolve</x:v>
      </x:c>
      <x:c r="L57" s="15" t="inlineStr">
        <x:is>
          <x:t xml:space="preserve"/>
        </x:is>
      </x:c>
      <x:c r="M57" s="9" t="inlineStr">
        <x:is>
          <x:t xml:space="preserve">Moderate caveat in the torsion argument: one finite-order step is implicit. In the intended PU(2,1) setting the conclusion is still correct.</x:t>
        </x:is>
      </x:c>
    </x:row>
    <x:row r="58" ht="120" customHeight="1">
      <x:c r="A58" s="15" t="n">
        <x:v>7</x:v>
      </x:c>
      <x:c r="B58" s="9" t="inlineStr">
        <x:is>
          <x:t xml:space="preserve">Q-acyclic universal covers</x:t>
        </x:is>
      </x:c>
      <x:c r="C58" s="9" t="inlineStr">
        <x:is>
          <x:t xml:space="preserve">Topology and geometric group theory</x:t>
        </x:is>
      </x:c>
      <x:c r="D58" s="15" t="inlineStr">
        <x:is>
          <x:t xml:space="preserve">T8</x:t>
        </x:is>
      </x:c>
      <x:c r="E58" s="9" t="inlineStr">
        <x:is>
          <x:t xml:space="preserve">Existence: ball quotient e=63</x:t>
        </x:is>
      </x:c>
      <x:c r="F58" s="16" t="n">
        <x:v>1</x:v>
      </x:c>
      <x:c r="G58" s="16" t="n">
        <x:v>1</x:v>
      </x:c>
      <x:c r="H58" s="18" t="n">
        <x:v>0</x:v>
      </x:c>
      <x:c r="I58" s="16" t="n">
        <x:v>1</x:v>
      </x:c>
      <x:c r="J58" s="19" t="inlineStr">
        <x:is>
          <x:t xml:space="preserve">Partial</x:t>
        </x:is>
      </x:c>
      <x:c r="K58" s="15" t="str">
        <x:f>IF(J58="Accepted",IF(I58=1,"Resolve","Local-only win"),IF(J58="Rejected",IF(G58=0,"Invalid inference","Eliminate route"),IF(J58="Partial","Refine gap",IF(J58="Deferred","Undeveloped route","Open bridge"))))</x:f>
        <x:v>Refine gap</x:v>
      </x:c>
      <x:c r="L58" s="15" t="inlineStr">
        <x:is>
          <x:t xml:space="preserve"/>
        </x:is>
      </x:c>
      <x:c r="M58" s="9" t="inlineStr">
        <x:is>
          <x:t xml:space="preserve">The required existence statement is neither proved nor cited here. If such a surface exists, the rest of the obstruction argument goes through.</x:t>
        </x:is>
      </x:c>
    </x:row>
    <x:row r="59" ht="120" customHeight="1">
      <x:c r="A59" s="15" t="n">
        <x:v>7</x:v>
      </x:c>
      <x:c r="B59" s="9" t="inlineStr">
        <x:is>
          <x:t xml:space="preserve">Q-acyclic universal covers</x:t>
        </x:is>
      </x:c>
      <x:c r="C59" s="9" t="inlineStr">
        <x:is>
          <x:t xml:space="preserve">Topology and geometric group theory</x:t>
        </x:is>
      </x:c>
      <x:c r="D59" s="15" t="inlineStr">
        <x:is>
          <x:t xml:space="preserve">T9</x:t>
        </x:is>
      </x:c>
      <x:c r="E59" s="9" t="inlineStr">
        <x:is>
          <x:t xml:space="preserve">Brown p-fractional theory</x:t>
        </x:is>
      </x:c>
      <x:c r="F59" s="16" t="n">
        <x:v>1</x:v>
      </x:c>
      <x:c r="G59" s="16" t="n">
        <x:v>1</x:v>
      </x:c>
      <x:c r="H59" s="16" t="n">
        <x:v>1</x:v>
      </x:c>
      <x:c r="I59" s="16" t="n">
        <x:v>1</x:v>
      </x:c>
      <x:c r="J59" s="17" t="inlineStr">
        <x:is>
          <x:t xml:space="preserve">Accepted</x:t>
        </x:is>
      </x:c>
      <x:c r="K59" s="15" t="str">
        <x:f>IF(J59="Accepted",IF(I59=1,"Resolve","Local-only win"),IF(J59="Rejected",IF(G59=0,"Invalid inference","Eliminate route"),IF(J59="Partial","Refine gap",IF(J59="Deferred","Undeveloped route","Open bridge"))))</x:f>
        <x:v>Resolve</x:v>
      </x:c>
      <x:c r="L59" s="15" t="inlineStr">
        <x:is>
          <x:t xml:space="preserve"/>
        </x:is>
      </x:c>
      <x:c r="M59" s="9" t="inlineStr">
        <x:is>
          <x:t xml:space="preserve">Clean.</x:t>
        </x:is>
      </x:c>
    </x:row>
    <x:row r="60" ht="120" customHeight="1">
      <x:c r="A60" s="11" t="n">
        <x:v>8</x:v>
      </x:c>
      <x:c r="B60" s="12" t="inlineStr">
        <x:is>
          <x:t xml:space="preserve">Lagrangian smoothing obstruction</x:t>
        </x:is>
      </x:c>
      <x:c r="C60" s="12" t="inlineStr">
        <x:is>
          <x:t xml:space="preserve">Symplectic topology</x:t>
        </x:is>
      </x:c>
      <x:c r="D60" s="11" t="inlineStr">
        <x:is>
          <x:t xml:space="preserve">T1</x:t>
        </x:is>
      </x:c>
      <x:c r="E60" s="12" t="inlineStr">
        <x:is>
          <x:t xml:space="preserve">Product construction K=C₁×C₂</x:t>
        </x:is>
      </x:c>
      <x:c r="F60" s="13" t="n">
        <x:v>1</x:v>
      </x:c>
      <x:c r="G60" s="13" t="n">
        <x:v>1</x:v>
      </x:c>
      <x:c r="H60" s="13" t="n">
        <x:v>1</x:v>
      </x:c>
      <x:c r="I60" s="13" t="n">
        <x:v>1</x:v>
      </x:c>
      <x:c r="J60" s="14" t="inlineStr">
        <x:is>
          <x:t xml:space="preserve">Accepted</x:t>
        </x:is>
      </x:c>
      <x:c r="K60" s="11" t="str">
        <x:f>IF(J60="Accepted",IF(I60=1,"Resolve","Local-only win"),IF(J60="Rejected",IF(G60=0,"Invalid inference","Eliminate route"),IF(J60="Partial","Refine gap",IF(J60="Deferred","Undeveloped route","Open bridge"))))</x:f>
        <x:v>Resolve</x:v>
      </x:c>
      <x:c r="L60" s="11" t="inlineStr">
        <x:is>
          <x:t xml:space="preserve"/>
        </x:is>
      </x:c>
      <x:c r="M60" s="12" t="inlineStr">
        <x:is>
          <x:t xml:space="preserve">Clean.</x:t>
        </x:is>
      </x:c>
    </x:row>
    <x:row r="61" ht="120" customHeight="1">
      <x:c r="A61" s="15" t="n">
        <x:v>8</x:v>
      </x:c>
      <x:c r="B61" s="9" t="inlineStr">
        <x:is>
          <x:t xml:space="preserve">Lagrangian smoothing obstruction</x:t>
        </x:is>
      </x:c>
      <x:c r="C61" s="9" t="inlineStr">
        <x:is>
          <x:t xml:space="preserve">Symplectic topology</x:t>
        </x:is>
      </x:c>
      <x:c r="D61" s="15" t="inlineStr">
        <x:is>
          <x:t xml:space="preserve">T2</x:t>
        </x:is>
      </x:c>
      <x:c r="E61" s="9" t="inlineStr">
        <x:is>
          <x:t xml:space="preserve">Each face Lagrangian</x:t>
        </x:is>
      </x:c>
      <x:c r="F61" s="16" t="n">
        <x:v>1</x:v>
      </x:c>
      <x:c r="G61" s="16" t="n">
        <x:v>1</x:v>
      </x:c>
      <x:c r="H61" s="16" t="n">
        <x:v>1</x:v>
      </x:c>
      <x:c r="I61" s="16" t="n">
        <x:v>1</x:v>
      </x:c>
      <x:c r="J61" s="17" t="inlineStr">
        <x:is>
          <x:t xml:space="preserve">Accepted</x:t>
        </x:is>
      </x:c>
      <x:c r="K61" s="15" t="str">
        <x:f>IF(J61="Accepted",IF(I61=1,"Resolve","Local-only win"),IF(J61="Rejected",IF(G61=0,"Invalid inference","Eliminate route"),IF(J61="Partial","Refine gap",IF(J61="Deferred","Undeveloped route","Open bridge"))))</x:f>
        <x:v>Resolve</x:v>
      </x:c>
      <x:c r="L61" s="15" t="inlineStr">
        <x:is>
          <x:t xml:space="preserve"/>
        </x:is>
      </x:c>
      <x:c r="M61" s="9" t="inlineStr">
        <x:is>
          <x:t xml:space="preserve">Clean.</x:t>
        </x:is>
      </x:c>
    </x:row>
    <x:row r="62" ht="120" customHeight="1">
      <x:c r="A62" s="15" t="n">
        <x:v>8</x:v>
      </x:c>
      <x:c r="B62" s="9" t="inlineStr">
        <x:is>
          <x:t xml:space="preserve">Lagrangian smoothing obstruction</x:t>
        </x:is>
      </x:c>
      <x:c r="C62" s="9" t="inlineStr">
        <x:is>
          <x:t xml:space="preserve">Symplectic topology</x:t>
        </x:is>
      </x:c>
      <x:c r="D62" s="15" t="inlineStr">
        <x:is>
          <x:t xml:space="preserve">T3</x:t>
        </x:is>
      </x:c>
      <x:c r="E62" s="9" t="inlineStr">
        <x:is>
          <x:t xml:space="preserve">Maslov convention</x:t>
        </x:is>
      </x:c>
      <x:c r="F62" s="16" t="n">
        <x:v>1</x:v>
      </x:c>
      <x:c r="G62" s="16" t="n">
        <x:v>1</x:v>
      </x:c>
      <x:c r="H62" s="16" t="n">
        <x:v>1</x:v>
      </x:c>
      <x:c r="I62" s="16" t="n">
        <x:v>1</x:v>
      </x:c>
      <x:c r="J62" s="17" t="inlineStr">
        <x:is>
          <x:t xml:space="preserve">Accepted</x:t>
        </x:is>
      </x:c>
      <x:c r="K62" s="15" t="str">
        <x:f>IF(J62="Accepted",IF(I62=1,"Resolve","Local-only win"),IF(J62="Rejected",IF(G62=0,"Invalid inference","Eliminate route"),IF(J62="Partial","Refine gap",IF(J62="Deferred","Undeveloped route","Open bridge"))))</x:f>
        <x:v>Resolve</x:v>
      </x:c>
      <x:c r="L62" s="15" t="inlineStr">
        <x:is>
          <x:t xml:space="preserve"/>
        </x:is>
      </x:c>
      <x:c r="M62" s="9" t="inlineStr">
        <x:is>
          <x:t xml:space="preserve">Clean.</x:t>
        </x:is>
      </x:c>
    </x:row>
    <x:row r="63" ht="120" customHeight="1">
      <x:c r="A63" s="15" t="n">
        <x:v>8</x:v>
      </x:c>
      <x:c r="B63" s="9" t="inlineStr">
        <x:is>
          <x:t xml:space="preserve">Lagrangian smoothing obstruction</x:t>
        </x:is>
      </x:c>
      <x:c r="C63" s="9" t="inlineStr">
        <x:is>
          <x:t xml:space="preserve">Symplectic topology</x:t>
        </x:is>
      </x:c>
      <x:c r="D63" s="15" t="inlineStr">
        <x:is>
          <x:t xml:space="preserve">T4</x:t>
        </x:is>
      </x:c>
      <x:c r="E63" s="9" t="inlineStr">
        <x:is>
          <x:t xml:space="preserve">Smooth disk ⇒ μ=0</x:t>
        </x:is>
      </x:c>
      <x:c r="F63" s="16" t="n">
        <x:v>1</x:v>
      </x:c>
      <x:c r="G63" s="16" t="n">
        <x:v>1</x:v>
      </x:c>
      <x:c r="H63" s="16" t="n">
        <x:v>1</x:v>
      </x:c>
      <x:c r="I63" s="16" t="n">
        <x:v>1</x:v>
      </x:c>
      <x:c r="J63" s="17" t="inlineStr">
        <x:is>
          <x:t xml:space="preserve">Accepted</x:t>
        </x:is>
      </x:c>
      <x:c r="K63" s="15" t="str">
        <x:f>IF(J63="Accepted",IF(I63=1,"Resolve","Local-only win"),IF(J63="Rejected",IF(G63=0,"Invalid inference","Eliminate route"),IF(J63="Partial","Refine gap",IF(J63="Deferred","Undeveloped route","Open bridge"))))</x:f>
        <x:v>Resolve</x:v>
      </x:c>
      <x:c r="L63" s="15" t="inlineStr">
        <x:is>
          <x:t xml:space="preserve"/>
        </x:is>
      </x:c>
      <x:c r="M63" s="9" t="inlineStr">
        <x:is>
          <x:t xml:space="preserve">Clean.</x:t>
        </x:is>
      </x:c>
    </x:row>
    <x:row r="64" ht="120" customHeight="1">
      <x:c r="A64" s="15" t="n">
        <x:v>8</x:v>
      </x:c>
      <x:c r="B64" s="9" t="inlineStr">
        <x:is>
          <x:t xml:space="preserve">Lagrangian smoothing obstruction</x:t>
        </x:is>
      </x:c>
      <x:c r="C64" s="9" t="inlineStr">
        <x:is>
          <x:t xml:space="preserve">Symplectic topology</x:t>
        </x:is>
      </x:c>
      <x:c r="D64" s="15" t="inlineStr">
        <x:is>
          <x:t xml:space="preserve">T5</x:t>
        </x:is>
      </x:c>
      <x:c r="E64" s="9" t="inlineStr">
        <x:is>
          <x:t xml:space="preserve">Canonical vertex loop γv</x:t>
        </x:is>
      </x:c>
      <x:c r="F64" s="16" t="n">
        <x:v>1</x:v>
      </x:c>
      <x:c r="G64" s="16" t="n">
        <x:v>1</x:v>
      </x:c>
      <x:c r="H64" s="16" t="n">
        <x:v>1</x:v>
      </x:c>
      <x:c r="I64" s="16" t="n">
        <x:v>1</x:v>
      </x:c>
      <x:c r="J64" s="17" t="inlineStr">
        <x:is>
          <x:t xml:space="preserve">Accepted</x:t>
        </x:is>
      </x:c>
      <x:c r="K64" s="15" t="str">
        <x:f>IF(J64="Accepted",IF(I64=1,"Resolve","Local-only win"),IF(J64="Rejected",IF(G64=0,"Invalid inference","Eliminate route"),IF(J64="Partial","Refine gap",IF(J64="Deferred","Undeveloped route","Open bridge"))))</x:f>
        <x:v>Resolve</x:v>
      </x:c>
      <x:c r="L64" s="15" t="inlineStr">
        <x:is>
          <x:t xml:space="preserve"/>
        </x:is>
      </x:c>
      <x:c r="M64" s="9" t="inlineStr">
        <x:is>
          <x:t xml:space="preserve">Clean.</x:t>
        </x:is>
      </x:c>
    </x:row>
    <x:row r="65" ht="120" customHeight="1">
      <x:c r="A65" s="15" t="n">
        <x:v>8</x:v>
      </x:c>
      <x:c r="B65" s="9" t="inlineStr">
        <x:is>
          <x:t xml:space="preserve">Lagrangian smoothing obstruction</x:t>
        </x:is>
      </x:c>
      <x:c r="C65" s="9" t="inlineStr">
        <x:is>
          <x:t xml:space="preserve">Symplectic topology</x:t>
        </x:is>
      </x:c>
      <x:c r="D65" s="15" t="inlineStr">
        <x:is>
          <x:t xml:space="preserve">T6</x:t>
        </x:is>
      </x:c>
      <x:c r="E65" s="9" t="inlineStr">
        <x:is>
          <x:t xml:space="preserve">μ(γv)=4≠0</x:t>
        </x:is>
      </x:c>
      <x:c r="F65" s="16" t="n">
        <x:v>1</x:v>
      </x:c>
      <x:c r="G65" s="16" t="n">
        <x:v>1</x:v>
      </x:c>
      <x:c r="H65" s="16" t="n">
        <x:v>1</x:v>
      </x:c>
      <x:c r="I65" s="16" t="n">
        <x:v>1</x:v>
      </x:c>
      <x:c r="J65" s="17" t="inlineStr">
        <x:is>
          <x:t xml:space="preserve">Accepted</x:t>
        </x:is>
      </x:c>
      <x:c r="K65" s="15" t="str">
        <x:f>IF(J65="Accepted",IF(I65=1,"Resolve","Local-only win"),IF(J65="Rejected",IF(G65=0,"Invalid inference","Eliminate route"),IF(J65="Partial","Refine gap",IF(J65="Deferred","Undeveloped route","Open bridge"))))</x:f>
        <x:v>Resolve</x:v>
      </x:c>
      <x:c r="L65" s="15" t="inlineStr">
        <x:is>
          <x:t xml:space="preserve"/>
        </x:is>
      </x:c>
      <x:c r="M65" s="9" t="inlineStr">
        <x:is>
          <x:t xml:space="preserve">Moderate caveat about orientation when the Lagrangian planes are pi/2 apart; the local smoothing argument resolves it.</x:t>
        </x:is>
      </x:c>
    </x:row>
    <x:row r="66" ht="120" customHeight="1">
      <x:c r="A66" s="15" t="n">
        <x:v>8</x:v>
      </x:c>
      <x:c r="B66" s="9" t="inlineStr">
        <x:is>
          <x:t xml:space="preserve">Lagrangian smoothing obstruction</x:t>
        </x:is>
      </x:c>
      <x:c r="C66" s="9" t="inlineStr">
        <x:is>
          <x:t xml:space="preserve">Symplectic topology</x:t>
        </x:is>
      </x:c>
      <x:c r="D66" s="15" t="inlineStr">
        <x:is>
          <x:t xml:space="preserve">T7</x:t>
        </x:is>
      </x:c>
      <x:c r="E66" s="9" t="inlineStr">
        <x:is>
          <x:t xml:space="preserve">Boundary Gauss loop ≃ γv</x:t>
        </x:is>
      </x:c>
      <x:c r="F66" s="16" t="n">
        <x:v>1</x:v>
      </x:c>
      <x:c r="G66" s="16" t="n">
        <x:v>1</x:v>
      </x:c>
      <x:c r="H66" s="16" t="n">
        <x:v>1</x:v>
      </x:c>
      <x:c r="I66" s="16" t="n">
        <x:v>1</x:v>
      </x:c>
      <x:c r="J66" s="17" t="inlineStr">
        <x:is>
          <x:t xml:space="preserve">Accepted</x:t>
        </x:is>
      </x:c>
      <x:c r="K66" s="15" t="str">
        <x:f>IF(J66="Accepted",IF(I66=1,"Resolve","Local-only win"),IF(J66="Rejected",IF(G66=0,"Invalid inference","Eliminate route"),IF(J66="Partial","Refine gap",IF(J66="Deferred","Undeveloped route","Open bridge"))))</x:f>
        <x:v>Resolve</x:v>
      </x:c>
      <x:c r="L66" s="15" t="inlineStr">
        <x:is>
          <x:t xml:space="preserve"/>
        </x:is>
      </x:c>
      <x:c r="M66" s="9" t="inlineStr">
        <x:is>
          <x:t xml:space="preserve">Clean.</x:t>
        </x:is>
      </x:c>
    </x:row>
    <x:row r="67" ht="120" customHeight="1">
      <x:c r="A67" s="15" t="n">
        <x:v>8</x:v>
      </x:c>
      <x:c r="B67" s="9" t="inlineStr">
        <x:is>
          <x:t xml:space="preserve">Lagrangian smoothing obstruction</x:t>
        </x:is>
      </x:c>
      <x:c r="C67" s="9" t="inlineStr">
        <x:is>
          <x:t xml:space="preserve">Symplectic topology</x:t>
        </x:is>
      </x:c>
      <x:c r="D67" s="15" t="inlineStr">
        <x:is>
          <x:t xml:space="preserve">T8</x:t>
        </x:is>
      </x:c>
      <x:c r="E67" s="9" t="inlineStr">
        <x:is>
          <x:t xml:space="preserve">Contradiction μ=0 vs μ=4</x:t>
        </x:is>
      </x:c>
      <x:c r="F67" s="16" t="n">
        <x:v>1</x:v>
      </x:c>
      <x:c r="G67" s="16" t="n">
        <x:v>1</x:v>
      </x:c>
      <x:c r="H67" s="16" t="n">
        <x:v>1</x:v>
      </x:c>
      <x:c r="I67" s="16" t="n">
        <x:v>1</x:v>
      </x:c>
      <x:c r="J67" s="17" t="inlineStr">
        <x:is>
          <x:t xml:space="preserve">Accepted</x:t>
        </x:is>
      </x:c>
      <x:c r="K67" s="15" t="str">
        <x:f>IF(J67="Accepted",IF(I67=1,"Resolve","Local-only win"),IF(J67="Rejected",IF(G67=0,"Invalid inference","Eliminate route"),IF(J67="Partial","Refine gap",IF(J67="Deferred","Undeveloped route","Open bridge"))))</x:f>
        <x:v>Resolve</x:v>
      </x:c>
      <x:c r="L67" s="15" t="inlineStr">
        <x:is>
          <x:t xml:space="preserve"/>
        </x:is>
      </x:c>
      <x:c r="M67" s="9" t="inlineStr">
        <x:is>
          <x:t xml:space="preserve">Clean.</x:t>
        </x:is>
      </x:c>
    </x:row>
    <x:row r="68" ht="120" customHeight="1">
      <x:c r="A68" s="11" t="n">
        <x:v>9</x:v>
      </x:c>
      <x:c r="B68" s="12" t="inlineStr">
        <x:is>
          <x:t xml:space="preserve">Rank-one scaling certificate</x:t>
        </x:is>
      </x:c>
      <x:c r="C68" s="12" t="inlineStr">
        <x:is>
          <x:t xml:space="preserve">Algebraic geometry and tensor methods</x:t>
        </x:is>
      </x:c>
      <x:c r="D68" s="11" t="inlineStr">
        <x:is>
          <x:t xml:space="preserve">T1</x:t>
        </x:is>
      </x:c>
      <x:c r="E68" s="12" t="inlineStr">
        <x:is>
          <x:t xml:space="preserve">Necessity: rank-1 ⇒ det pullback</x:t>
        </x:is>
      </x:c>
      <x:c r="F68" s="13" t="n">
        <x:v>1</x:v>
      </x:c>
      <x:c r="G68" s="13" t="n">
        <x:v>1</x:v>
      </x:c>
      <x:c r="H68" s="13" t="n">
        <x:v>1</x:v>
      </x:c>
      <x:c r="I68" s="13" t="n">
        <x:v>1</x:v>
      </x:c>
      <x:c r="J68" s="14" t="inlineStr">
        <x:is>
          <x:t xml:space="preserve">Accepted</x:t>
        </x:is>
      </x:c>
      <x:c r="K68" s="11" t="str">
        <x:f>IF(J68="Accepted",IF(I68=1,"Resolve","Local-only win"),IF(J68="Rejected",IF(G68=0,"Invalid inference","Eliminate route"),IF(J68="Partial","Refine gap",IF(J68="Deferred","Undeveloped route","Open bridge"))))</x:f>
        <x:v>Resolve</x:v>
      </x:c>
      <x:c r="L68" s="11" t="inlineStr">
        <x:is>
          <x:t xml:space="preserve"/>
        </x:is>
      </x:c>
      <x:c r="M68" s="12" t="inlineStr">
        <x:is>
          <x:t xml:space="preserve">Clean.</x:t>
        </x:is>
      </x:c>
    </x:row>
    <x:row r="69" ht="120" customHeight="1">
      <x:c r="A69" s="15" t="n">
        <x:v>9</x:v>
      </x:c>
      <x:c r="B69" s="9" t="inlineStr">
        <x:is>
          <x:t xml:space="preserve">Rank-one scaling certificate</x:t>
        </x:is>
      </x:c>
      <x:c r="C69" s="9" t="inlineStr">
        <x:is>
          <x:t xml:space="preserve">Algebraic geometry and tensor methods</x:t>
        </x:is>
      </x:c>
      <x:c r="D69" s="15" t="inlineStr">
        <x:is>
          <x:t xml:space="preserve">T2</x:t>
        </x:is>
      </x:c>
      <x:c r="E69" s="9" t="inlineStr">
        <x:is>
          <x:t xml:space="preserve">Flattening rank ≤ 4</x:t>
        </x:is>
      </x:c>
      <x:c r="F69" s="16" t="n">
        <x:v>1</x:v>
      </x:c>
      <x:c r="G69" s="16" t="n">
        <x:v>1</x:v>
      </x:c>
      <x:c r="H69" s="16" t="n">
        <x:v>1</x:v>
      </x:c>
      <x:c r="I69" s="16" t="n">
        <x:v>1</x:v>
      </x:c>
      <x:c r="J69" s="17" t="inlineStr">
        <x:is>
          <x:t xml:space="preserve">Accepted</x:t>
        </x:is>
      </x:c>
      <x:c r="K69" s="15" t="str">
        <x:f>IF(J69="Accepted",IF(I69=1,"Resolve","Local-only win"),IF(J69="Rejected",IF(G69=0,"Invalid inference","Eliminate route"),IF(J69="Partial","Refine gap",IF(J69="Deferred","Undeveloped route","Open bridge"))))</x:f>
        <x:v>Resolve</x:v>
      </x:c>
      <x:c r="L69" s="15" t="inlineStr">
        <x:is>
          <x:t xml:space="preserve"/>
        </x:is>
      </x:c>
      <x:c r="M69" s="9" t="inlineStr">
        <x:is>
          <x:t xml:space="preserve">Clean.</x:t>
        </x:is>
      </x:c>
    </x:row>
    <x:row r="70" ht="120" customHeight="1">
      <x:c r="A70" s="15" t="n">
        <x:v>9</x:v>
      </x:c>
      <x:c r="B70" s="9" t="inlineStr">
        <x:is>
          <x:t xml:space="preserve">Rank-one scaling certificate</x:t>
        </x:is>
      </x:c>
      <x:c r="C70" s="9" t="inlineStr">
        <x:is>
          <x:t xml:space="preserve">Algebraic geometry and tensor methods</x:t>
        </x:is>
      </x:c>
      <x:c r="D70" s="15" t="inlineStr">
        <x:is>
          <x:t xml:space="preserve">T3</x:t>
        </x:is>
      </x:c>
      <x:c r="E70" s="9" t="inlineStr">
        <x:is>
          <x:t xml:space="preserve">Slice rank ≤ 2</x:t>
        </x:is>
      </x:c>
      <x:c r="F70" s="16" t="n">
        <x:v>1</x:v>
      </x:c>
      <x:c r="G70" s="16" t="n">
        <x:v>1</x:v>
      </x:c>
      <x:c r="H70" s="16" t="n">
        <x:v>1</x:v>
      </x:c>
      <x:c r="I70" s="16" t="n">
        <x:v>1</x:v>
      </x:c>
      <x:c r="J70" s="17" t="inlineStr">
        <x:is>
          <x:t xml:space="preserve">Accepted</x:t>
        </x:is>
      </x:c>
      <x:c r="K70" s="15" t="str">
        <x:f>IF(J70="Accepted",IF(I70=1,"Resolve","Local-only win"),IF(J70="Rejected",IF(G70=0,"Invalid inference","Eliminate route"),IF(J70="Partial","Refine gap",IF(J70="Deferred","Undeveloped route","Open bridge"))))</x:f>
        <x:v>Resolve</x:v>
      </x:c>
      <x:c r="L70" s="15" t="inlineStr">
        <x:is>
          <x:t xml:space="preserve"/>
        </x:is>
      </x:c>
      <x:c r="M70" s="9" t="inlineStr">
        <x:is>
          <x:t xml:space="preserve">Clean.</x:t>
        </x:is>
      </x:c>
    </x:row>
    <x:row r="71" ht="120" customHeight="1">
      <x:c r="A71" s="15" t="n">
        <x:v>9</x:v>
      </x:c>
      <x:c r="B71" s="9" t="inlineStr">
        <x:is>
          <x:t xml:space="preserve">Rank-one scaling certificate</x:t>
        </x:is>
      </x:c>
      <x:c r="C71" s="9" t="inlineStr">
        <x:is>
          <x:t xml:space="preserve">Algebraic geometry and tensor methods</x:t>
        </x:is>
      </x:c>
      <x:c r="D71" s="15" t="inlineStr">
        <x:is>
          <x:t xml:space="preserve">T4</x:t>
        </x:is>
      </x:c>
      <x:c r="E71" s="9" t="inlineStr">
        <x:is>
          <x:t xml:space="preserve">Tucker decomposition</x:t>
        </x:is>
      </x:c>
      <x:c r="F71" s="16" t="n">
        <x:v>1</x:v>
      </x:c>
      <x:c r="G71" s="16" t="n">
        <x:v>1</x:v>
      </x:c>
      <x:c r="H71" s="16" t="n">
        <x:v>1</x:v>
      </x:c>
      <x:c r="I71" s="16" t="n">
        <x:v>1</x:v>
      </x:c>
      <x:c r="J71" s="17" t="inlineStr">
        <x:is>
          <x:t xml:space="preserve">Accepted</x:t>
        </x:is>
      </x:c>
      <x:c r="K71" s="15" t="str">
        <x:f>IF(J71="Accepted",IF(I71=1,"Resolve","Local-only win"),IF(J71="Rejected",IF(G71=0,"Invalid inference","Eliminate route"),IF(J71="Partial","Refine gap",IF(J71="Deferred","Undeveloped route","Open bridge"))))</x:f>
        <x:v>Resolve</x:v>
      </x:c>
      <x:c r="L71" s="15" t="inlineStr">
        <x:is>
          <x:t xml:space="preserve"/>
        </x:is>
      </x:c>
      <x:c r="M71" s="9" t="inlineStr">
        <x:is>
          <x:t xml:space="preserve">Clean.</x:t>
        </x:is>
      </x:c>
    </x:row>
    <x:row r="72" ht="120" customHeight="1">
      <x:c r="A72" s="15" t="n">
        <x:v>9</x:v>
      </x:c>
      <x:c r="B72" s="9" t="inlineStr">
        <x:is>
          <x:t xml:space="preserve">Rank-one scaling certificate</x:t>
        </x:is>
      </x:c>
      <x:c r="C72" s="9" t="inlineStr">
        <x:is>
          <x:t xml:space="preserve">Algebraic geometry and tensor methods</x:t>
        </x:is>
      </x:c>
      <x:c r="D72" s="15" t="inlineStr">
        <x:is>
          <x:t xml:space="preserve">T5</x:t>
        </x:is>
      </x:c>
      <x:c r="E72" s="9" t="inlineStr">
        <x:is>
          <x:t xml:space="preserve">Slice constraints descend</x:t>
        </x:is>
      </x:c>
      <x:c r="F72" s="16" t="n">
        <x:v>1</x:v>
      </x:c>
      <x:c r="G72" s="16" t="n">
        <x:v>1</x:v>
      </x:c>
      <x:c r="H72" s="16" t="n">
        <x:v>1</x:v>
      </x:c>
      <x:c r="I72" s="16" t="n">
        <x:v>1</x:v>
      </x:c>
      <x:c r="J72" s="17" t="inlineStr">
        <x:is>
          <x:t xml:space="preserve">Accepted</x:t>
        </x:is>
      </x:c>
      <x:c r="K72" s="15" t="str">
        <x:f>IF(J72="Accepted",IF(I72=1,"Resolve","Local-only win"),IF(J72="Rejected",IF(G72=0,"Invalid inference","Eliminate route"),IF(J72="Partial","Refine gap",IF(J72="Deferred","Undeveloped route","Open bridge"))))</x:f>
        <x:v>Resolve</x:v>
      </x:c>
      <x:c r="L72" s="15" t="inlineStr">
        <x:is>
          <x:t xml:space="preserve"/>
        </x:is>
      </x:c>
      <x:c r="M72" s="9" t="inlineStr">
        <x:is>
          <x:t xml:space="preserve">Clean.</x:t>
        </x:is>
      </x:c>
    </x:row>
    <x:row r="73" ht="120" customHeight="1">
      <x:c r="A73" s="15" t="n">
        <x:v>9</x:v>
      </x:c>
      <x:c r="B73" s="9" t="inlineStr">
        <x:is>
          <x:t xml:space="preserve">Rank-one scaling certificate</x:t>
        </x:is>
      </x:c>
      <x:c r="C73" s="9" t="inlineStr">
        <x:is>
          <x:t xml:space="preserve">Algebraic geometry and tensor methods</x:t>
        </x:is>
      </x:c>
      <x:c r="D73" s="15" t="inlineStr">
        <x:is>
          <x:t xml:space="preserve">T6</x:t>
        </x:is>
      </x:c>
      <x:c r="E73" s="9" t="inlineStr">
        <x:is>
          <x:t xml:space="preserve">Core rigidity G~ε</x:t>
        </x:is>
      </x:c>
      <x:c r="F73" s="16" t="n">
        <x:v>1</x:v>
      </x:c>
      <x:c r="G73" s="16" t="n">
        <x:v>1</x:v>
      </x:c>
      <x:c r="H73" s="16" t="n">
        <x:v>1</x:v>
      </x:c>
      <x:c r="I73" s="16" t="n">
        <x:v>1</x:v>
      </x:c>
      <x:c r="J73" s="17" t="inlineStr">
        <x:is>
          <x:t xml:space="preserve">Accepted</x:t>
        </x:is>
      </x:c>
      <x:c r="K73" s="15" t="str">
        <x:f>IF(J73="Accepted",IF(I73=1,"Resolve","Local-only win"),IF(J73="Rejected",IF(G73=0,"Invalid inference","Eliminate route"),IF(J73="Partial","Refine gap",IF(J73="Deferred","Undeveloped route","Open bridge"))))</x:f>
        <x:v>Resolve</x:v>
      </x:c>
      <x:c r="L73" s="15" t="inlineStr">
        <x:is>
          <x:t xml:space="preserve"/>
        </x:is>
      </x:c>
      <x:c r="M73" s="9" t="inlineStr">
        <x:is>
          <x:t xml:space="preserve">The intermediate Grassmannian geometry is compressed, but the overall rigidity argument is sound in outline.</x:t>
        </x:is>
      </x:c>
    </x:row>
    <x:row r="74" ht="120" customHeight="1">
      <x:c r="A74" s="15" t="n">
        <x:v>9</x:v>
      </x:c>
      <x:c r="B74" s="9" t="inlineStr">
        <x:is>
          <x:t xml:space="preserve">Rank-one scaling certificate</x:t>
        </x:is>
      </x:c>
      <x:c r="C74" s="9" t="inlineStr">
        <x:is>
          <x:t xml:space="preserve">Algebraic geometry and tensor methods</x:t>
        </x:is>
      </x:c>
      <x:c r="D74" s="15" t="inlineStr">
        <x:is>
          <x:t xml:space="preserve">T7</x:t>
        </x:is>
      </x:c>
      <x:c r="E74" s="9" t="inlineStr">
        <x:is>
          <x:t xml:space="preserve">Plücker in Gr(2,4)</x:t>
        </x:is>
      </x:c>
      <x:c r="F74" s="16" t="n">
        <x:v>1</x:v>
      </x:c>
      <x:c r="G74" s="16" t="n">
        <x:v>1</x:v>
      </x:c>
      <x:c r="H74" s="16" t="n">
        <x:v>1</x:v>
      </x:c>
      <x:c r="I74" s="16" t="n">
        <x:v>1</x:v>
      </x:c>
      <x:c r="J74" s="17" t="inlineStr">
        <x:is>
          <x:t xml:space="preserve">Accepted</x:t>
        </x:is>
      </x:c>
      <x:c r="K74" s="15" t="str">
        <x:f>IF(J74="Accepted",IF(I74=1,"Resolve","Local-only win"),IF(J74="Rejected",IF(G74=0,"Invalid inference","Eliminate route"),IF(J74="Partial","Refine gap",IF(J74="Deferred","Undeveloped route","Open bridge"))))</x:f>
        <x:v>Resolve</x:v>
      </x:c>
      <x:c r="L74" s="15" t="inlineStr">
        <x:is>
          <x:t xml:space="preserve"/>
        </x:is>
      </x:c>
      <x:c r="M74" s="9" t="inlineStr">
        <x:is>
          <x:t xml:space="preserve">Clean.</x:t>
        </x:is>
      </x:c>
    </x:row>
    <x:row r="75" ht="120" customHeight="1">
      <x:c r="A75" s="15" t="n">
        <x:v>9</x:v>
      </x:c>
      <x:c r="B75" s="9" t="inlineStr">
        <x:is>
          <x:t xml:space="preserve">Rank-one scaling certificate</x:t>
        </x:is>
      </x:c>
      <x:c r="C75" s="9" t="inlineStr">
        <x:is>
          <x:t xml:space="preserve">Algebraic geometry and tensor methods</x:t>
        </x:is>
      </x:c>
      <x:c r="D75" s="15" t="inlineStr">
        <x:is>
          <x:t xml:space="preserve">T8</x:t>
        </x:is>
      </x:c>
      <x:c r="E75" s="9" t="inlineStr">
        <x:is>
          <x:t xml:space="preserve">Pencils → Grassmannian lines</x:t>
        </x:is>
      </x:c>
      <x:c r="F75" s="16" t="n">
        <x:v>1</x:v>
      </x:c>
      <x:c r="G75" s="16" t="n">
        <x:v>1</x:v>
      </x:c>
      <x:c r="H75" s="16" t="n">
        <x:v>1</x:v>
      </x:c>
      <x:c r="I75" s="16" t="n">
        <x:v>1</x:v>
      </x:c>
      <x:c r="J75" s="17" t="inlineStr">
        <x:is>
          <x:t xml:space="preserve">Accepted</x:t>
        </x:is>
      </x:c>
      <x:c r="K75" s="15" t="str">
        <x:f>IF(J75="Accepted",IF(I75=1,"Resolve","Local-only win"),IF(J75="Rejected",IF(G75=0,"Invalid inference","Eliminate route"),IF(J75="Partial","Refine gap",IF(J75="Deferred","Undeveloped route","Open bridge"))))</x:f>
        <x:v>Resolve</x:v>
      </x:c>
      <x:c r="L75" s="15" t="inlineStr">
        <x:is>
          <x:t xml:space="preserve"/>
        </x:is>
      </x:c>
      <x:c r="M75" s="9" t="inlineStr">
        <x:is>
          <x:t xml:space="preserve">Clean.</x:t>
        </x:is>
      </x:c>
    </x:row>
    <x:row r="76" ht="120" customHeight="1">
      <x:c r="A76" s="15" t="n">
        <x:v>9</x:v>
      </x:c>
      <x:c r="B76" s="9" t="inlineStr">
        <x:is>
          <x:t xml:space="preserve">Rank-one scaling certificate</x:t>
        </x:is>
      </x:c>
      <x:c r="C76" s="9" t="inlineStr">
        <x:is>
          <x:t xml:space="preserve">Algebraic geometry and tensor methods</x:t>
        </x:is>
      </x:c>
      <x:c r="D76" s="15" t="inlineStr">
        <x:is>
          <x:t xml:space="preserve">T9</x:t>
        </x:is>
      </x:c>
      <x:c r="E76" s="9" t="inlineStr">
        <x:is>
          <x:t xml:space="preserve">Line-preserving rigidity (FTPG)</x:t>
        </x:is>
      </x:c>
      <x:c r="F76" s="16" t="n">
        <x:v>1</x:v>
      </x:c>
      <x:c r="G76" s="16" t="n">
        <x:v>1</x:v>
      </x:c>
      <x:c r="H76" s="16" t="n">
        <x:v>1</x:v>
      </x:c>
      <x:c r="I76" s="16" t="n">
        <x:v>1</x:v>
      </x:c>
      <x:c r="J76" s="17" t="inlineStr">
        <x:is>
          <x:t xml:space="preserve">Accepted</x:t>
        </x:is>
      </x:c>
      <x:c r="K76" s="15" t="str">
        <x:f>IF(J76="Accepted",IF(I76=1,"Resolve","Local-only win"),IF(J76="Rejected",IF(G76=0,"Invalid inference","Eliminate route"),IF(J76="Partial","Refine gap",IF(J76="Deferred","Undeveloped route","Open bridge"))))</x:f>
        <x:v>Resolve</x:v>
      </x:c>
      <x:c r="L76" s="15" t="inlineStr">
        <x:is>
          <x:t xml:space="preserve"/>
        </x:is>
      </x:c>
      <x:c r="M76" s="9" t="inlineStr">
        <x:is>
          <x:t xml:space="preserve">Minor caveat: the injectivity of the column map should be spelled out explicitly.</x:t>
        </x:is>
      </x:c>
    </x:row>
    <x:row r="77" ht="120" customHeight="1">
      <x:c r="A77" s="15" t="n">
        <x:v>9</x:v>
      </x:c>
      <x:c r="B77" s="9" t="inlineStr">
        <x:is>
          <x:t xml:space="preserve">Rank-one scaling certificate</x:t>
        </x:is>
      </x:c>
      <x:c r="C77" s="9" t="inlineStr">
        <x:is>
          <x:t xml:space="preserve">Algebraic geometry and tensor methods</x:t>
        </x:is>
      </x:c>
      <x:c r="D77" s="15" t="inlineStr">
        <x:is>
          <x:t xml:space="preserve">T10</x:t>
        </x:is>
      </x:c>
      <x:c r="E77" s="9" t="inlineStr">
        <x:is>
          <x:t xml:space="preserve">Block scaling endgame</x:t>
        </x:is>
      </x:c>
      <x:c r="F77" s="16" t="n">
        <x:v>1</x:v>
      </x:c>
      <x:c r="G77" s="16" t="n">
        <x:v>1</x:v>
      </x:c>
      <x:c r="H77" s="16" t="n">
        <x:v>1</x:v>
      </x:c>
      <x:c r="I77" s="16" t="n">
        <x:v>1</x:v>
      </x:c>
      <x:c r="J77" s="17" t="inlineStr">
        <x:is>
          <x:t xml:space="preserve">Accepted</x:t>
        </x:is>
      </x:c>
      <x:c r="K77" s="15" t="str">
        <x:f>IF(J77="Accepted",IF(I77=1,"Resolve","Local-only win"),IF(J77="Rejected",IF(G77=0,"Invalid inference","Eliminate route"),IF(J77="Partial","Refine gap",IF(J77="Deferred","Undeveloped route","Open bridge"))))</x:f>
        <x:v>Resolve</x:v>
      </x:c>
      <x:c r="L77" s="15" t="inlineStr">
        <x:is>
          <x:t xml:space="preserve"/>
        </x:is>
      </x:c>
      <x:c r="M77" s="9" t="inlineStr">
        <x:is>
          <x:t xml:space="preserve">Clean.</x:t>
        </x:is>
      </x:c>
    </x:row>
    <x:row r="78" ht="120" customHeight="1">
      <x:c r="A78" s="11" t="n">
        <x:v>10</x:v>
      </x:c>
      <x:c r="B78" s="12" t="inlineStr">
        <x:is>
          <x:t xml:space="preserve">Matrix-free PCG for RKHS</x:t>
        </x:is>
      </x:c>
      <x:c r="C78" s="12" t="inlineStr">
        <x:is>
          <x:t xml:space="preserve">Numerical linear algebra and kernel methods</x:t>
        </x:is>
      </x:c>
      <x:c r="D78" s="11" t="inlineStr">
        <x:is>
          <x:t xml:space="preserve">T1</x:t>
        </x:is>
      </x:c>
      <x:c r="E78" s="12" t="inlineStr">
        <x:is>
          <x:t xml:space="preserve">Vec-Kronecker + masking</x:t>
        </x:is>
      </x:c>
      <x:c r="F78" s="13" t="n">
        <x:v>1</x:v>
      </x:c>
      <x:c r="G78" s="13" t="n">
        <x:v>1</x:v>
      </x:c>
      <x:c r="H78" s="13" t="n">
        <x:v>1</x:v>
      </x:c>
      <x:c r="I78" s="13" t="n">
        <x:v>1</x:v>
      </x:c>
      <x:c r="J78" s="14" t="inlineStr">
        <x:is>
          <x:t xml:space="preserve">Accepted</x:t>
        </x:is>
      </x:c>
      <x:c r="K78" s="11" t="str">
        <x:f>IF(J78="Accepted",IF(I78=1,"Resolve","Local-only win"),IF(J78="Rejected",IF(G78=0,"Invalid inference","Eliminate route"),IF(J78="Partial","Refine gap",IF(J78="Deferred","Undeveloped route","Open bridge"))))</x:f>
        <x:v>Resolve</x:v>
      </x:c>
      <x:c r="L78" s="11" t="inlineStr">
        <x:is>
          <x:t xml:space="preserve"/>
        </x:is>
      </x:c>
      <x:c r="M78" s="12" t="inlineStr">
        <x:is>
          <x:t xml:space="preserve">Clean.</x:t>
        </x:is>
      </x:c>
    </x:row>
    <x:row r="79" ht="120" customHeight="1">
      <x:c r="A79" s="15" t="n">
        <x:v>10</x:v>
      </x:c>
      <x:c r="B79" s="9" t="inlineStr">
        <x:is>
          <x:t xml:space="preserve">Matrix-free PCG for RKHS</x:t>
        </x:is>
      </x:c>
      <x:c r="C79" s="9" t="inlineStr">
        <x:is>
          <x:t xml:space="preserve">Numerical linear algebra and kernel methods</x:t>
        </x:is>
      </x:c>
      <x:c r="D79" s="15" t="inlineStr">
        <x:is>
          <x:t xml:space="preserve">T2</x:t>
        </x:is>
      </x:c>
      <x:c r="E79" s="9" t="inlineStr">
        <x:is>
          <x:t xml:space="preserve">Scatter-add matvec</x:t>
        </x:is>
      </x:c>
      <x:c r="F79" s="16" t="n">
        <x:v>1</x:v>
      </x:c>
      <x:c r="G79" s="16" t="n">
        <x:v>1</x:v>
      </x:c>
      <x:c r="H79" s="16" t="n">
        <x:v>1</x:v>
      </x:c>
      <x:c r="I79" s="16" t="n">
        <x:v>1</x:v>
      </x:c>
      <x:c r="J79" s="17" t="inlineStr">
        <x:is>
          <x:t xml:space="preserve">Accepted</x:t>
        </x:is>
      </x:c>
      <x:c r="K79" s="15" t="str">
        <x:f>IF(J79="Accepted",IF(I79=1,"Resolve","Local-only win"),IF(J79="Rejected",IF(G79=0,"Invalid inference","Eliminate route"),IF(J79="Partial","Refine gap",IF(J79="Deferred","Undeveloped route","Open bridge"))))</x:f>
        <x:v>Resolve</x:v>
      </x:c>
      <x:c r="L79" s="15" t="inlineStr">
        <x:is>
          <x:t xml:space="preserve"/>
        </x:is>
      </x:c>
      <x:c r="M79" s="9" t="inlineStr">
        <x:is>
          <x:t xml:space="preserve">Clean.</x:t>
        </x:is>
      </x:c>
    </x:row>
    <x:row r="80" ht="120" customHeight="1">
      <x:c r="A80" s="15" t="n">
        <x:v>10</x:v>
      </x:c>
      <x:c r="B80" s="9" t="inlineStr">
        <x:is>
          <x:t xml:space="preserve">Matrix-free PCG for RKHS</x:t>
        </x:is>
      </x:c>
      <x:c r="C80" s="9" t="inlineStr">
        <x:is>
          <x:t xml:space="preserve">Numerical linear algebra and kernel methods</x:t>
        </x:is>
      </x:c>
      <x:c r="D80" s="15" t="inlineStr">
        <x:is>
          <x:t xml:space="preserve">T3</x:t>
        </x:is>
      </x:c>
      <x:c r="E80" s="9" t="inlineStr">
        <x:is>
          <x:t xml:space="preserve">Implicit row (mixed-radix)</x:t>
        </x:is>
      </x:c>
      <x:c r="F80" s="16" t="n">
        <x:v>1</x:v>
      </x:c>
      <x:c r="G80" s="16" t="n">
        <x:v>1</x:v>
      </x:c>
      <x:c r="H80" s="16" t="n">
        <x:v>1</x:v>
      </x:c>
      <x:c r="I80" s="16" t="n">
        <x:v>1</x:v>
      </x:c>
      <x:c r="J80" s="17" t="inlineStr">
        <x:is>
          <x:t xml:space="preserve">Accepted</x:t>
        </x:is>
      </x:c>
      <x:c r="K80" s="15" t="str">
        <x:f>IF(J80="Accepted",IF(I80=1,"Resolve","Local-only win"),IF(J80="Rejected",IF(G80=0,"Invalid inference","Eliminate route"),IF(J80="Partial","Refine gap",IF(J80="Deferred","Undeveloped route","Open bridge"))))</x:f>
        <x:v>Resolve</x:v>
      </x:c>
      <x:c r="L80" s="15" t="inlineStr">
        <x:is>
          <x:t xml:space="preserve"/>
        </x:is>
      </x:c>
      <x:c r="M80" s="9" t="inlineStr">
        <x:is>
          <x:t xml:space="preserve">Clean.</x:t>
        </x:is>
      </x:c>
    </x:row>
    <x:row r="81" ht="120" customHeight="1">
      <x:c r="A81" s="15" t="n">
        <x:v>10</x:v>
      </x:c>
      <x:c r="B81" s="9" t="inlineStr">
        <x:is>
          <x:t xml:space="preserve">Matrix-free PCG for RKHS</x:t>
        </x:is>
      </x:c>
      <x:c r="C81" s="9" t="inlineStr">
        <x:is>
          <x:t xml:space="preserve">Numerical linear algebra and kernel methods</x:t>
        </x:is>
      </x:c>
      <x:c r="D81" s="15" t="inlineStr">
        <x:is>
          <x:t xml:space="preserve">T4</x:t>
        </x:is>
      </x:c>
      <x:c r="E81" s="9" t="inlineStr">
        <x:is>
          <x:t xml:space="preserve">Khatri-Rao Gram identity</x:t>
        </x:is>
      </x:c>
      <x:c r="F81" s="16" t="n">
        <x:v>1</x:v>
      </x:c>
      <x:c r="G81" s="16" t="n">
        <x:v>1</x:v>
      </x:c>
      <x:c r="H81" s="16" t="n">
        <x:v>1</x:v>
      </x:c>
      <x:c r="I81" s="16" t="n">
        <x:v>1</x:v>
      </x:c>
      <x:c r="J81" s="17" t="inlineStr">
        <x:is>
          <x:t xml:space="preserve">Accepted</x:t>
        </x:is>
      </x:c>
      <x:c r="K81" s="15" t="str">
        <x:f>IF(J81="Accepted",IF(I81=1,"Resolve","Local-only win"),IF(J81="Rejected",IF(G81=0,"Invalid inference","Eliminate route"),IF(J81="Partial","Refine gap",IF(J81="Deferred","Undeveloped route","Open bridge"))))</x:f>
        <x:v>Resolve</x:v>
      </x:c>
      <x:c r="L81" s="15" t="inlineStr">
        <x:is>
          <x:t xml:space="preserve"/>
        </x:is>
      </x:c>
      <x:c r="M81" s="9" t="inlineStr">
        <x:is>
          <x:t xml:space="preserve">Clean.</x:t>
        </x:is>
      </x:c>
    </x:row>
    <x:row r="82" ht="120" customHeight="1">
      <x:c r="A82" s="15" t="n">
        <x:v>10</x:v>
      </x:c>
      <x:c r="B82" s="9" t="inlineStr">
        <x:is>
          <x:t xml:space="preserve">Matrix-free PCG for RKHS</x:t>
        </x:is>
      </x:c>
      <x:c r="C82" s="9" t="inlineStr">
        <x:is>
          <x:t xml:space="preserve">Numerical linear algebra and kernel methods</x:t>
        </x:is>
      </x:c>
      <x:c r="D82" s="15" t="inlineStr">
        <x:is>
          <x:t xml:space="preserve">T5</x:t>
        </x:is>
      </x:c>
      <x:c r="E82" s="9" t="inlineStr">
        <x:is>
          <x:t xml:space="preserve">Kronecker preconditioner</x:t>
        </x:is>
      </x:c>
      <x:c r="F82" s="16" t="n">
        <x:v>1</x:v>
      </x:c>
      <x:c r="G82" s="16" t="n">
        <x:v>1</x:v>
      </x:c>
      <x:c r="H82" s="16" t="n">
        <x:v>1</x:v>
      </x:c>
      <x:c r="I82" s="16" t="n">
        <x:v>1</x:v>
      </x:c>
      <x:c r="J82" s="17" t="inlineStr">
        <x:is>
          <x:t xml:space="preserve">Accepted</x:t>
        </x:is>
      </x:c>
      <x:c r="K82" s="15" t="str">
        <x:f>IF(J82="Accepted",IF(I82=1,"Resolve","Local-only win"),IF(J82="Rejected",IF(G82=0,"Invalid inference","Eliminate route"),IF(J82="Partial","Refine gap",IF(J82="Deferred","Undeveloped route","Open bridge"))))</x:f>
        <x:v>Resolve</x:v>
      </x:c>
      <x:c r="L82" s="15" t="inlineStr">
        <x:is>
          <x:t xml:space="preserve"/>
        </x:is>
      </x:c>
      <x:c r="M82" s="9" t="inlineStr">
        <x:is>
          <x:t xml:space="preserve">Clean.</x:t>
        </x:is>
      </x:c>
    </x:row>
    <x:row r="83" ht="120" customHeight="1">
      <x:c r="A83" s="15" t="n">
        <x:v>10</x:v>
      </x:c>
      <x:c r="B83" s="9" t="inlineStr">
        <x:is>
          <x:t xml:space="preserve">Matrix-free PCG for RKHS</x:t>
        </x:is>
      </x:c>
      <x:c r="C83" s="9" t="inlineStr">
        <x:is>
          <x:t xml:space="preserve">Numerical linear algebra and kernel methods</x:t>
        </x:is>
      </x:c>
      <x:c r="D83" s="15" t="inlineStr">
        <x:is>
          <x:t xml:space="preserve">T6</x:t>
        </x:is>
      </x:c>
      <x:c r="E83" s="9" t="inlineStr">
        <x:is>
          <x:t xml:space="preserve">Row-count scaling</x:t>
        </x:is>
      </x:c>
      <x:c r="F83" s="16" t="n">
        <x:v>1</x:v>
      </x:c>
      <x:c r="G83" s="16" t="n">
        <x:v>1</x:v>
      </x:c>
      <x:c r="H83" s="16" t="n">
        <x:v>1</x:v>
      </x:c>
      <x:c r="I83" s="16" t="n">
        <x:v>1</x:v>
      </x:c>
      <x:c r="J83" s="17" t="inlineStr">
        <x:is>
          <x:t xml:space="preserve">Accepted</x:t>
        </x:is>
      </x:c>
      <x:c r="K83" s="15" t="str">
        <x:f>IF(J83="Accepted",IF(I83=1,"Resolve","Local-only win"),IF(J83="Rejected",IF(G83=0,"Invalid inference","Eliminate route"),IF(J83="Partial","Refine gap",IF(J83="Deferred","Undeveloped route","Open bridge"))))</x:f>
        <x:v>Resolve</x:v>
      </x:c>
      <x:c r="L83" s="15" t="inlineStr">
        <x:is>
          <x:t xml:space="preserve"/>
        </x:is>
      </x:c>
      <x:c r="M83" s="9" t="inlineStr">
        <x:is>
          <x:t xml:space="preserve">Clean.</x:t>
        </x:is>
      </x:c>
    </x:row>
    <x:row r="84" ht="120" customHeight="1">
      <x:c r="A84" s="15" t="n">
        <x:v>10</x:v>
      </x:c>
      <x:c r="B84" s="9" t="inlineStr">
        <x:is>
          <x:t xml:space="preserve">Matrix-free PCG for RKHS</x:t>
        </x:is>
      </x:c>
      <x:c r="C84" s="9" t="inlineStr">
        <x:is>
          <x:t xml:space="preserve">Numerical linear algebra and kernel methods</x:t>
        </x:is>
      </x:c>
      <x:c r="D84" s="15" t="inlineStr">
        <x:is>
          <x:t xml:space="preserve">T7</x:t>
        </x:is>
      </x:c>
      <x:c r="E84" s="9" t="inlineStr">
        <x:is>
          <x:t xml:space="preserve">Adaptive scalar α</x:t>
        </x:is>
      </x:c>
      <x:c r="F84" s="16" t="n">
        <x:v>1</x:v>
      </x:c>
      <x:c r="G84" s="16" t="n">
        <x:v>1</x:v>
      </x:c>
      <x:c r="H84" s="16" t="n">
        <x:v>1</x:v>
      </x:c>
      <x:c r="I84" s="16" t="n">
        <x:v>1</x:v>
      </x:c>
      <x:c r="J84" s="17" t="inlineStr">
        <x:is>
          <x:t xml:space="preserve">Accepted</x:t>
        </x:is>
      </x:c>
      <x:c r="K84" s="15" t="str">
        <x:f>IF(J84="Accepted",IF(I84=1,"Resolve","Local-only win"),IF(J84="Rejected",IF(G84=0,"Invalid inference","Eliminate route"),IF(J84="Partial","Refine gap",IF(J84="Deferred","Undeveloped route","Open bridge"))))</x:f>
        <x:v>Resolve</x:v>
      </x:c>
      <x:c r="L84" s="15" t="inlineStr">
        <x:is>
          <x:t xml:space="preserve"/>
        </x:is>
      </x:c>
      <x:c r="M84" s="9" t="inlineStr">
        <x:is>
          <x:t xml:space="preserve">Clean.</x:t>
        </x:is>
      </x:c>
    </x:row>
    <x:row r="85" ht="120" customHeight="1">
      <x:c r="A85" s="15" t="n">
        <x:v>10</x:v>
      </x:c>
      <x:c r="B85" s="9" t="inlineStr">
        <x:is>
          <x:t xml:space="preserve">Matrix-free PCG for RKHS</x:t>
        </x:is>
      </x:c>
      <x:c r="C85" s="9" t="inlineStr">
        <x:is>
          <x:t xml:space="preserve">Numerical linear algebra and kernel methods</x:t>
        </x:is>
      </x:c>
      <x:c r="D85" s="15" t="inlineStr">
        <x:is>
          <x:t xml:space="preserve">T8</x:t>
        </x:is>
      </x:c>
      <x:c r="E85" s="9" t="inlineStr">
        <x:is>
          <x:t xml:space="preserve">SPD property</x:t>
        </x:is>
      </x:c>
      <x:c r="F85" s="16" t="n">
        <x:v>1</x:v>
      </x:c>
      <x:c r="G85" s="16" t="n">
        <x:v>1</x:v>
      </x:c>
      <x:c r="H85" s="16" t="n">
        <x:v>1</x:v>
      </x:c>
      <x:c r="I85" s="16" t="n">
        <x:v>1</x:v>
      </x:c>
      <x:c r="J85" s="17" t="inlineStr">
        <x:is>
          <x:t xml:space="preserve">Accepted</x:t>
        </x:is>
      </x:c>
      <x:c r="K85" s="15" t="str">
        <x:f>IF(J85="Accepted",IF(I85=1,"Resolve","Local-only win"),IF(J85="Rejected",IF(G85=0,"Invalid inference","Eliminate route"),IF(J85="Partial","Refine gap",IF(J85="Deferred","Undeveloped route","Open bridge"))))</x:f>
        <x:v>Resolve</x:v>
      </x:c>
      <x:c r="L85" s="15" t="inlineStr">
        <x:is>
          <x:t xml:space="preserve"/>
        </x:is>
      </x:c>
      <x:c r="M85" s="9" t="inlineStr">
        <x:is>
          <x:t xml:space="preserve">Clean.</x:t>
        </x:is>
      </x:c>
    </x:row>
    <x:row r="86" ht="120" customHeight="1">
      <x:c r="A86" s="15" t="n">
        <x:v>10</x:v>
      </x:c>
      <x:c r="B86" s="9" t="inlineStr">
        <x:is>
          <x:t xml:space="preserve">Matrix-free PCG for RKHS</x:t>
        </x:is>
      </x:c>
      <x:c r="C86" s="9" t="inlineStr">
        <x:is>
          <x:t xml:space="preserve">Numerical linear algebra and kernel methods</x:t>
        </x:is>
      </x:c>
      <x:c r="D86" s="15" t="inlineStr">
        <x:is>
          <x:t xml:space="preserve">T9</x:t>
        </x:is>
      </x:c>
      <x:c r="E86" s="9" t="inlineStr">
        <x:is>
          <x:t xml:space="preserve">Spectrum of M⁻¹Ã</x:t>
        </x:is>
      </x:c>
      <x:c r="F86" s="16" t="n">
        <x:v>1</x:v>
      </x:c>
      <x:c r="G86" s="16" t="n">
        <x:v>1</x:v>
      </x:c>
      <x:c r="H86" s="16" t="n">
        <x:v>1</x:v>
      </x:c>
      <x:c r="I86" s="16" t="n">
        <x:v>1</x:v>
      </x:c>
      <x:c r="J86" s="17" t="inlineStr">
        <x:is>
          <x:t xml:space="preserve">Accepted</x:t>
        </x:is>
      </x:c>
      <x:c r="K86" s="15" t="str">
        <x:f>IF(J86="Accepted",IF(I86=1,"Resolve","Local-only win"),IF(J86="Rejected",IF(G86=0,"Invalid inference","Eliminate route"),IF(J86="Partial","Refine gap",IF(J86="Deferred","Undeveloped route","Open bridge"))))</x:f>
        <x:v>Resolve</x:v>
      </x:c>
      <x:c r="L86" s="15" t="inlineStr">
        <x:is>
          <x:t xml:space="preserve"/>
        </x:is>
      </x:c>
      <x:c r="M86" s="9" t="inlineStr">
        <x:is>
          <x:t xml:space="preserve">Clean.</x:t>
        </x:is>
      </x:c>
    </x:row>
    <x:row r="87" ht="120" customHeight="1">
      <x:c r="A87" s="15" t="n">
        <x:v>10</x:v>
      </x:c>
      <x:c r="B87" s="9" t="inlineStr">
        <x:is>
          <x:t xml:space="preserve">Matrix-free PCG for RKHS</x:t>
        </x:is>
      </x:c>
      <x:c r="C87" s="9" t="inlineStr">
        <x:is>
          <x:t xml:space="preserve">Numerical linear algebra and kernel methods</x:t>
        </x:is>
      </x:c>
      <x:c r="D87" s="15" t="inlineStr">
        <x:is>
          <x:t xml:space="preserve">T10</x:t>
        </x:is>
      </x:c>
      <x:c r="E87" s="9" t="inlineStr">
        <x:is>
          <x:t xml:space="preserve">Matrix Chernoff (template)</x:t>
        </x:is>
      </x:c>
      <x:c r="F87" s="16" t="n">
        <x:v>1</x:v>
      </x:c>
      <x:c r="G87" s="16" t="n">
        <x:v>1</x:v>
      </x:c>
      <x:c r="H87" s="16" t="n">
        <x:v>1</x:v>
      </x:c>
      <x:c r="I87" s="18" t="n">
        <x:v>0</x:v>
      </x:c>
      <x:c r="J87" s="17" t="inlineStr">
        <x:is>
          <x:t xml:space="preserve">Accepted</x:t>
        </x:is>
      </x:c>
      <x:c r="K87" s="15" t="str">
        <x:f>IF(J87="Accepted",IF(I87=1,"Resolve","Local-only win"),IF(J87="Rejected",IF(G87=0,"Invalid inference","Eliminate route"),IF(J87="Partial","Refine gap",IF(J87="Deferred","Undeveloped route","Open bridge"))))</x:f>
        <x:v>Local-only win</x:v>
      </x:c>
      <x:c r="L87" s="15" t="inlineStr">
        <x:is>
          <x:t xml:space="preserve"/>
        </x:is>
      </x:c>
      <x:c r="M87" s="9" t="inlineStr">
        <x:is>
          <x:t xml:space="preserve">A useful template with symbolic constants, but the argument is fragile outside the iid-style regime.</x:t>
        </x:is>
      </x:c>
    </x:row>
    <x:row r="88" ht="120" customHeight="1">
      <x:c r="A88" s="15" t="n">
        <x:v>10</x:v>
      </x:c>
      <x:c r="B88" s="9" t="inlineStr">
        <x:is>
          <x:t xml:space="preserve">Matrix-free PCG for RKHS</x:t>
        </x:is>
      </x:c>
      <x:c r="C88" s="9" t="inlineStr">
        <x:is>
          <x:t xml:space="preserve">Numerical linear algebra and kernel methods</x:t>
        </x:is>
      </x:c>
      <x:c r="D88" s="15" t="inlineStr">
        <x:is>
          <x:t xml:space="preserve">T11</x:t>
        </x:is>
      </x:c>
      <x:c r="E88" s="9" t="inlineStr">
        <x:is>
          <x:t xml:space="preserve">Without-replacement sandwich</x:t>
        </x:is>
      </x:c>
      <x:c r="F88" s="16" t="n">
        <x:v>1</x:v>
      </x:c>
      <x:c r="G88" s="16" t="n">
        <x:v>1</x:v>
      </x:c>
      <x:c r="H88" s="18" t="n">
        <x:v>0</x:v>
      </x:c>
      <x:c r="I88" s="18" t="n">
        <x:v>0</x:v>
      </x:c>
      <x:c r="J88" s="19" t="inlineStr">
        <x:is>
          <x:t xml:space="preserve">Partial</x:t>
        </x:is>
      </x:c>
      <x:c r="K88" s="15" t="str">
        <x:f>IF(J88="Accepted",IF(I88=1,"Resolve","Local-only win"),IF(J88="Rejected",IF(G88=0,"Invalid inference","Eliminate route"),IF(J88="Partial","Refine gap",IF(J88="Deferred","Undeveloped route","Open bridge"))))</x:f>
        <x:v>Refine gap</x:v>
      </x:c>
      <x:c r="L88" s="15" t="inlineStr">
        <x:is>
          <x:t xml:space="preserve"/>
        </x:is>
      </x:c>
      <x:c r="M88" s="9" t="inlineStr">
        <x:is>
          <x:t xml:space="preserve">The step depends on external without-replacement matrix concentration results and is not self-contained in this workbook.</x:t>
        </x:is>
      </x:c>
    </x:row>
    <x:row r="89" ht="120" customHeight="1">
      <x:c r="A89" s="15" t="n">
        <x:v>10</x:v>
      </x:c>
      <x:c r="B89" s="9" t="inlineStr">
        <x:is>
          <x:t xml:space="preserve">Matrix-free PCG for RKHS</x:t>
        </x:is>
      </x:c>
      <x:c r="C89" s="9" t="inlineStr">
        <x:is>
          <x:t xml:space="preserve">Numerical linear algebra and kernel methods</x:t>
        </x:is>
      </x:c>
      <x:c r="D89" s="15" t="inlineStr">
        <x:is>
          <x:t xml:space="preserve">T12</x:t>
        </x:is>
      </x:c>
      <x:c r="E89" s="9" t="inlineStr">
        <x:is>
          <x:t xml:space="preserve">PSD sandwich ⇒ κ bound</x:t>
        </x:is>
      </x:c>
      <x:c r="F89" s="16" t="n">
        <x:v>1</x:v>
      </x:c>
      <x:c r="G89" s="16" t="n">
        <x:v>1</x:v>
      </x:c>
      <x:c r="H89" s="16" t="n">
        <x:v>1</x:v>
      </x:c>
      <x:c r="I89" s="16" t="n">
        <x:v>1</x:v>
      </x:c>
      <x:c r="J89" s="17" t="inlineStr">
        <x:is>
          <x:t xml:space="preserve">Accepted</x:t>
        </x:is>
      </x:c>
      <x:c r="K89" s="15" t="str">
        <x:f>IF(J89="Accepted",IF(I89=1,"Resolve","Local-only win"),IF(J89="Rejected",IF(G89=0,"Invalid inference","Eliminate route"),IF(J89="Partial","Refine gap",IF(J89="Deferred","Undeveloped route","Open bridge"))))</x:f>
        <x:v>Resolve</x:v>
      </x:c>
      <x:c r="L89" s="15" t="inlineStr">
        <x:is>
          <x:t xml:space="preserve"/>
        </x:is>
      </x:c>
      <x:c r="M89" s="9" t="inlineStr">
        <x:is>
          <x:t xml:space="preserve">Clean.</x:t>
        </x:is>
      </x:c>
    </x:row>
  </x:sheetData>
  <x:mergeCells>
    <x:mergeCell ref="A3:M3"/>
    <x:mergeCell ref="A2:M2"/>
    <x:mergeCell ref="A1:M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30" customWidth="1"/>
    <x:col min="3" max="3" width="28" customWidth="1"/>
    <x:col min="4" max="4" width="11" customWidth="1"/>
    <x:col min="5" max="5" width="10" customWidth="1"/>
    <x:col min="6" max="6" width="10" customWidth="1"/>
    <x:col min="7" max="7" width="10" customWidth="1"/>
    <x:col min="8" max="8" width="10" customWidth="1"/>
    <x:col min="9" max="9" width="9" customWidth="1"/>
    <x:col min="10" max="10" width="16" customWidth="1"/>
    <x:col min="11" max="11" width="16" customWidth="1"/>
    <x:col min="12" max="12" width="16" customWidth="1"/>
    <x:col min="13" max="13" width="18" customWidth="1"/>
    <x:col min="14" max="14" width="13" customWidth="1"/>
    <x:col min="15" max="15" width="14" customWidth="1"/>
    <x:col min="16" max="16" width="13" customWidth="1"/>
    <x:col min="17" max="17" width="11" customWidth="1"/>
    <x:col min="18" max="18" width="14" customWidth="1"/>
    <x:col min="19" max="19" width="56" customWidth="1"/>
  </x:cols>
  <x:sheetData>
    <x:row r="1">
      <x:c r="A1" s="1" t="inlineStr">
        <x:is>
          <x:t xml:space="preserve">Proof Summary</x:t>
        </x:is>
      </x:c>
    </x:row>
    <x:row r="2">
      <x:c r="A2" s="2" t="inlineStr">
        <x:is>
          <x:t xml:space="preserve">Formula-driven proof-level rollups derived from the tactic sheet. Rates are calculated from the binary step metrics.</x:t>
        </x:is>
      </x:c>
    </x:row>
    <x:row r="4" ht="24" customHeight="1">
      <x:c r="A4" s="3" t="inlineStr">
        <x:is>
          <x:t xml:space="preserve">Problem ID</x:t>
        </x:is>
      </x:c>
      <x:c r="B4" s="3" t="inlineStr">
        <x:is>
          <x:t xml:space="preserve">Problem Title</x:t>
        </x:is>
      </x:c>
      <x:c r="C4" s="3" t="inlineStr">
        <x:is>
          <x:t xml:space="preserve">Area</x:t>
        </x:is>
      </x:c>
      <x:c r="D4" s="3" t="inlineStr">
        <x:is>
          <x:t xml:space="preserve">Total Steps</x:t>
        </x:is>
      </x:c>
      <x:c r="E4" s="3" t="inlineStr">
        <x:is>
          <x:t xml:space="preserve">Accepted</x:t>
        </x:is>
      </x:c>
      <x:c r="F4" s="3" t="inlineStr">
        <x:is>
          <x:t xml:space="preserve">Rejected</x:t>
        </x:is>
      </x:c>
      <x:c r="G4" s="3" t="inlineStr">
        <x:is>
          <x:t xml:space="preserve">Partial</x:t>
        </x:is>
      </x:c>
      <x:c r="H4" s="3" t="inlineStr">
        <x:is>
          <x:t xml:space="preserve">Deferred</x:t>
        </x:is>
      </x:c>
      <x:c r="I4" s="3" t="inlineStr">
        <x:is>
          <x:t xml:space="preserve">Open</x:t>
        </x:is>
      </x:c>
      <x:c r="J4" s="3" t="inlineStr">
        <x:is>
          <x:t xml:space="preserve">Assumption Compliance Rate</x:t>
        </x:is>
      </x:c>
      <x:c r="K4" s="3" t="inlineStr">
        <x:is>
          <x:t xml:space="preserve">Inference Validity Rate</x:t>
        </x:is>
      </x:c>
      <x:c r="L4" s="3" t="inlineStr">
        <x:is>
          <x:t xml:space="preserve">Goal Completion Rate</x:t>
        </x:is>
      </x:c>
      <x:c r="M4" s="3" t="inlineStr">
        <x:is>
          <x:t xml:space="preserve">Generalization Robustness Rate</x:t>
        </x:is>
      </x:c>
      <x:c r="N4" s="3" t="inlineStr">
        <x:is>
          <x:t xml:space="preserve">No Rejected Step?</x:t>
        </x:is>
      </x:c>
      <x:c r="O4" s="3" t="inlineStr">
        <x:is>
          <x:t xml:space="preserve">No Invalid Inference?</x:t>
        </x:is>
      </x:c>
      <x:c r="P4" s="3" t="inlineStr">
        <x:is>
          <x:t xml:space="preserve">Fully Goal-Complete?</x:t>
        </x:is>
      </x:c>
      <x:c r="Q4" s="3" t="inlineStr">
        <x:is>
          <x:t xml:space="preserve">Fully Robust?</x:t>
        </x:is>
      </x:c>
      <x:c r="R4" s="3" t="inlineStr">
        <x:is>
          <x:t xml:space="preserve">Overall Outcome</x:t>
        </x:is>
      </x:c>
      <x:c r="S4" s="3" t="inlineStr">
        <x:is>
          <x:t xml:space="preserve">Assessment</x:t>
        </x:is>
      </x:c>
    </x:row>
    <x:row r="5" ht="120" customHeight="1">
      <x:c r="A5" s="24" t="n">
        <x:v>1</x:v>
      </x:c>
      <x:c r="B5" s="25" t="inlineStr">
        <x:is>
          <x:t xml:space="preserve">Phi^4_3 measure singularity</x:t>
        </x:is>
      </x:c>
      <x:c r="C5" s="25" t="inlineStr">
        <x:is>
          <x:t xml:space="preserve">Quantum field theory</x:t>
        </x:is>
      </x:c>
      <x:c r="D5" s="24">
        <x:f>COUNTIF('Tactic Data'!$A$5:$A$500,$A5)</x:f>
        <x:v>6</x:v>
      </x:c>
      <x:c r="E5" s="24">
        <x:f>COUNTIFS('Tactic Data'!$A$5:$A$500,$A5,'Tactic Data'!$J$5:$J$500,"Accepted")</x:f>
        <x:v>5</x:v>
      </x:c>
      <x:c r="F5" s="24">
        <x:f>COUNTIFS('Tactic Data'!$A$5:$A$500,$A5,'Tactic Data'!$J$5:$J$500,"Rejected")</x:f>
        <x:v>0</x:v>
      </x:c>
      <x:c r="G5" s="24">
        <x:f>COUNTIFS('Tactic Data'!$A$5:$A$500,$A5,'Tactic Data'!$J$5:$J$500,"Partial")</x:f>
        <x:v>1</x:v>
      </x:c>
      <x:c r="H5" s="24">
        <x:f>COUNTIFS('Tactic Data'!$A$5:$A$500,$A5,'Tactic Data'!$J$5:$J$500,"Deferred")</x:f>
        <x:v>0</x:v>
      </x:c>
      <x:c r="I5" s="24">
        <x:f>COUNTIFS('Tactic Data'!$A$5:$A$500,$A5,'Tactic Data'!$J$5:$J$500,"Open")</x:f>
        <x:v>0</x:v>
      </x:c>
      <x:c r="J5" s="26">
        <x:f>SUMIFS('Tactic Data'!$F$5:$F$500,'Tactic Data'!$A$5:$A$500,$A5)/$D5</x:f>
        <x:v>1</x:v>
      </x:c>
      <x:c r="K5" s="26">
        <x:f>SUMIFS('Tactic Data'!$G$5:$G$500,'Tactic Data'!$A$5:$A$500,$A5)/$D5</x:f>
        <x:v>1</x:v>
      </x:c>
      <x:c r="L5" s="26">
        <x:f>SUMIFS('Tactic Data'!$H$5:$H$500,'Tactic Data'!$A$5:$A$500,$A5)/$D5</x:f>
        <x:v>0.8333333333333334</x:v>
      </x:c>
      <x:c r="M5" s="26">
        <x:f>SUMIFS('Tactic Data'!$I$5:$I$500,'Tactic Data'!$A$5:$A$500,$A5)/$D5</x:f>
        <x:v>1</x:v>
      </x:c>
      <x:c r="N5" s="24" t="str">
        <x:f>IF($F5=0,"Yes","No")</x:f>
        <x:v>Yes</x:v>
      </x:c>
      <x:c r="O5" s="24" t="str">
        <x:f>IF($K5=1,"Yes","No")</x:f>
        <x:v>Yes</x:v>
      </x:c>
      <x:c r="P5" s="24" t="str">
        <x:f>IF($L5=1,"Yes","No")</x:f>
        <x:v>No</x:v>
      </x:c>
      <x:c r="Q5" s="24" t="str">
        <x:f>IF($M5=1,"Yes","No")</x:f>
        <x:v>Yes</x:v>
      </x:c>
      <x:c r="R5" s="19" t="inlineStr">
        <x:is>
          <x:t xml:space="preserve">Partial</x:t>
        </x:is>
      </x:c>
      <x:c r="S5" s="25" t="inlineStr">
        <x:is>
          <x:t xml:space="preserve">One missing negative-moment bound remains; the rest of the chain is structurally strong.</x:t>
        </x:is>
      </x:c>
    </x:row>
    <x:row r="6" ht="120" customHeight="1">
      <x:c r="A6" s="24" t="n">
        <x:v>2</x:v>
      </x:c>
      <x:c r="B6" s="25" t="inlineStr">
        <x:is>
          <x:t xml:space="preserve">Rankin-Selberg local test vector</x:t>
        </x:is>
      </x:c>
      <x:c r="C6" s="25" t="inlineStr">
        <x:is>
          <x:t xml:space="preserve">Automorphic forms</x:t>
        </x:is>
      </x:c>
      <x:c r="D6" s="24">
        <x:f>COUNTIF('Tactic Data'!$A$5:$A$500,$A6)</x:f>
        <x:v>11</x:v>
      </x:c>
      <x:c r="E6" s="24">
        <x:f>COUNTIFS('Tactic Data'!$A$5:$A$500,$A6,'Tactic Data'!$J$5:$J$500,"Accepted")</x:f>
        <x:v>4</x:v>
      </x:c>
      <x:c r="F6" s="24">
        <x:f>COUNTIFS('Tactic Data'!$A$5:$A$500,$A6,'Tactic Data'!$J$5:$J$500,"Rejected")</x:f>
        <x:v>3</x:v>
      </x:c>
      <x:c r="G6" s="24">
        <x:f>COUNTIFS('Tactic Data'!$A$5:$A$500,$A6,'Tactic Data'!$J$5:$J$500,"Partial")</x:f>
        <x:v>0</x:v>
      </x:c>
      <x:c r="H6" s="24">
        <x:f>COUNTIFS('Tactic Data'!$A$5:$A$500,$A6,'Tactic Data'!$J$5:$J$500,"Deferred")</x:f>
        <x:v>2</x:v>
      </x:c>
      <x:c r="I6" s="24">
        <x:f>COUNTIFS('Tactic Data'!$A$5:$A$500,$A6,'Tactic Data'!$J$5:$J$500,"Open")</x:f>
        <x:v>2</x:v>
      </x:c>
      <x:c r="J6" s="26">
        <x:f>SUMIFS('Tactic Data'!$F$5:$F$500,'Tactic Data'!$A$5:$A$500,$A6)/$D6</x:f>
        <x:v>1</x:v>
      </x:c>
      <x:c r="K6" s="26">
        <x:f>SUMIFS('Tactic Data'!$G$5:$G$500,'Tactic Data'!$A$5:$A$500,$A6)/$D6</x:f>
        <x:v>0.9090909090909091</x:v>
      </x:c>
      <x:c r="L6" s="26">
        <x:f>SUMIFS('Tactic Data'!$H$5:$H$500,'Tactic Data'!$A$5:$A$500,$A6)/$D6</x:f>
        <x:v>0.36363636363636365</x:v>
      </x:c>
      <x:c r="M6" s="26">
        <x:f>SUMIFS('Tactic Data'!$I$5:$I$500,'Tactic Data'!$A$5:$A$500,$A6)/$D6</x:f>
        <x:v>0.2727272727272727</x:v>
      </x:c>
      <x:c r="N6" s="24" t="str">
        <x:f>IF($F6=0,"Yes","No")</x:f>
        <x:v>No</x:v>
      </x:c>
      <x:c r="O6" s="24" t="str">
        <x:f>IF($K6=1,"Yes","No")</x:f>
        <x:v>No</x:v>
      </x:c>
      <x:c r="P6" s="24" t="str">
        <x:f>IF($L6=1,"Yes","No")</x:f>
        <x:v>No</x:v>
      </x:c>
      <x:c r="Q6" s="24" t="str">
        <x:f>IF($M6=1,"Yes","No")</x:f>
        <x:v>No</x:v>
      </x:c>
      <x:c r="R6" s="19" t="inlineStr">
        <x:is>
          <x:t xml:space="preserve">Partial</x:t>
        </x:is>
      </x:c>
      <x:c r="S6" s="25" t="inlineStr">
        <x:is>
          <x:t xml:space="preserve">The n=1 base case closes, but the higher-rank bridge remains open and one recurrence-based route fails.</x:t>
        </x:is>
      </x:c>
    </x:row>
    <x:row r="7" ht="120" customHeight="1">
      <x:c r="A7" s="24" t="n">
        <x:v>3</x:v>
      </x:c>
      <x:c r="B7" s="25" t="inlineStr">
        <x:is>
          <x:t xml:space="preserve">Markov kernel construction</x:t>
        </x:is>
      </x:c>
      <x:c r="C7" s="25" t="inlineStr">
        <x:is>
          <x:t xml:space="preserve">Probability and algebraic combinatorics</x:t>
        </x:is>
      </x:c>
      <x:c r="D7" s="24">
        <x:f>COUNTIF('Tactic Data'!$A$5:$A$500,$A7)</x:f>
        <x:v>7</x:v>
      </x:c>
      <x:c r="E7" s="24">
        <x:f>COUNTIFS('Tactic Data'!$A$5:$A$500,$A7,'Tactic Data'!$J$5:$J$500,"Accepted")</x:f>
        <x:v>1</x:v>
      </x:c>
      <x:c r="F7" s="24">
        <x:f>COUNTIFS('Tactic Data'!$A$5:$A$500,$A7,'Tactic Data'!$J$5:$J$500,"Rejected")</x:f>
        <x:v>0</x:v>
      </x:c>
      <x:c r="G7" s="24">
        <x:f>COUNTIFS('Tactic Data'!$A$5:$A$500,$A7,'Tactic Data'!$J$5:$J$500,"Partial")</x:f>
        <x:v>2</x:v>
      </x:c>
      <x:c r="H7" s="24">
        <x:f>COUNTIFS('Tactic Data'!$A$5:$A$500,$A7,'Tactic Data'!$J$5:$J$500,"Deferred")</x:f>
        <x:v>4</x:v>
      </x:c>
      <x:c r="I7" s="24">
        <x:f>COUNTIFS('Tactic Data'!$A$5:$A$500,$A7,'Tactic Data'!$J$5:$J$500,"Open")</x:f>
        <x:v>0</x:v>
      </x:c>
      <x:c r="J7" s="26">
        <x:f>SUMIFS('Tactic Data'!$F$5:$F$500,'Tactic Data'!$A$5:$A$500,$A7)/$D7</x:f>
        <x:v>1</x:v>
      </x:c>
      <x:c r="K7" s="26">
        <x:f>SUMIFS('Tactic Data'!$G$5:$G$500,'Tactic Data'!$A$5:$A$500,$A7)/$D7</x:f>
        <x:v>1</x:v>
      </x:c>
      <x:c r="L7" s="26">
        <x:f>SUMIFS('Tactic Data'!$H$5:$H$500,'Tactic Data'!$A$5:$A$500,$A7)/$D7</x:f>
        <x:v>0.14285714285714285</x:v>
      </x:c>
      <x:c r="M7" s="26">
        <x:f>SUMIFS('Tactic Data'!$I$5:$I$500,'Tactic Data'!$A$5:$A$500,$A7)/$D7</x:f>
        <x:v>0.14285714285714285</x:v>
      </x:c>
      <x:c r="N7" s="24" t="str">
        <x:f>IF($F7=0,"Yes","No")</x:f>
        <x:v>Yes</x:v>
      </x:c>
      <x:c r="O7" s="24" t="str">
        <x:f>IF($K7=1,"Yes","No")</x:f>
        <x:v>Yes</x:v>
      </x:c>
      <x:c r="P7" s="24" t="str">
        <x:f>IF($L7=1,"Yes","No")</x:f>
        <x:v>No</x:v>
      </x:c>
      <x:c r="Q7" s="24" t="str">
        <x:f>IF($M7=1,"Yes","No")</x:f>
        <x:v>No</x:v>
      </x:c>
      <x:c r="R7" s="19" t="inlineStr">
        <x:is>
          <x:t xml:space="preserve">Partial</x:t>
        </x:is>
      </x:c>
      <x:c r="S7" s="25" t="inlineStr">
        <x:is>
          <x:t xml:space="preserve">The stationarity route is valid only locally; nontriviality and invariant-measure control remain open.</x:t>
        </x:is>
      </x:c>
    </x:row>
    <x:row r="8" ht="120" customHeight="1">
      <x:c r="A8" s="24" t="n">
        <x:v>4</x:v>
      </x:c>
      <x:c r="B8" s="25" t="inlineStr">
        <x:is>
          <x:t xml:space="preserve">Finite free Stam inequality</x:t>
        </x:is>
      </x:c>
      <x:c r="C8" s="25" t="inlineStr">
        <x:is>
          <x:t xml:space="preserve">Free probability</x:t>
        </x:is>
      </x:c>
      <x:c r="D8" s="24">
        <x:f>COUNTIF('Tactic Data'!$A$5:$A$500,$A8)</x:f>
        <x:v>9</x:v>
      </x:c>
      <x:c r="E8" s="24">
        <x:f>COUNTIFS('Tactic Data'!$A$5:$A$500,$A8,'Tactic Data'!$J$5:$J$500,"Accepted")</x:f>
        <x:v>6</x:v>
      </x:c>
      <x:c r="F8" s="24">
        <x:f>COUNTIFS('Tactic Data'!$A$5:$A$500,$A8,'Tactic Data'!$J$5:$J$500,"Rejected")</x:f>
        <x:v>2</x:v>
      </x:c>
      <x:c r="G8" s="24">
        <x:f>COUNTIFS('Tactic Data'!$A$5:$A$500,$A8,'Tactic Data'!$J$5:$J$500,"Partial")</x:f>
        <x:v>1</x:v>
      </x:c>
      <x:c r="H8" s="24">
        <x:f>COUNTIFS('Tactic Data'!$A$5:$A$500,$A8,'Tactic Data'!$J$5:$J$500,"Deferred")</x:f>
        <x:v>0</x:v>
      </x:c>
      <x:c r="I8" s="24">
        <x:f>COUNTIFS('Tactic Data'!$A$5:$A$500,$A8,'Tactic Data'!$J$5:$J$500,"Open")</x:f>
        <x:v>0</x:v>
      </x:c>
      <x:c r="J8" s="26">
        <x:f>SUMIFS('Tactic Data'!$F$5:$F$500,'Tactic Data'!$A$5:$A$500,$A8)/$D8</x:f>
        <x:v>1</x:v>
      </x:c>
      <x:c r="K8" s="26">
        <x:f>SUMIFS('Tactic Data'!$G$5:$G$500,'Tactic Data'!$A$5:$A$500,$A8)/$D8</x:f>
        <x:v>1</x:v>
      </x:c>
      <x:c r="L8" s="26">
        <x:f>SUMIFS('Tactic Data'!$H$5:$H$500,'Tactic Data'!$A$5:$A$500,$A8)/$D8</x:f>
        <x:v>0.6666666666666666</x:v>
      </x:c>
      <x:c r="M8" s="26">
        <x:f>SUMIFS('Tactic Data'!$I$5:$I$500,'Tactic Data'!$A$5:$A$500,$A8)/$D8</x:f>
        <x:v>0.2222222222222222</x:v>
      </x:c>
      <x:c r="N8" s="24" t="str">
        <x:f>IF($F8=0,"Yes","No")</x:f>
        <x:v>No</x:v>
      </x:c>
      <x:c r="O8" s="24" t="str">
        <x:f>IF($K8=1,"Yes","No")</x:f>
        <x:v>Yes</x:v>
      </x:c>
      <x:c r="P8" s="24" t="str">
        <x:f>IF($L8=1,"Yes","No")</x:f>
        <x:v>No</x:v>
      </x:c>
      <x:c r="Q8" s="24" t="str">
        <x:f>IF($M8=1,"Yes","No")</x:f>
        <x:v>No</x:v>
      </x:c>
      <x:c r="R8" s="19" t="inlineStr">
        <x:is>
          <x:t xml:space="preserve">Partial</x:t>
        </x:is>
      </x:c>
      <x:c r="S8" s="25" t="inlineStr">
        <x:is>
          <x:t xml:space="preserve">The n&lt;=3 structure is informative, but higher n needs a new mechanism beyond the rejected routes.</x:t>
        </x:is>
      </x:c>
    </x:row>
    <x:row r="9" ht="120" customHeight="1">
      <x:c r="A9" s="24" t="n">
        <x:v>5</x:v>
      </x:c>
      <x:c r="B9" s="25" t="inlineStr">
        <x:is>
          <x:t xml:space="preserve">O-slice connectivity</x:t>
        </x:is>
      </x:c>
      <x:c r="C9" s="25" t="inlineStr">
        <x:is>
          <x:t xml:space="preserve">Equivariant homotopy theory</x:t>
        </x:is>
      </x:c>
      <x:c r="D9" s="24">
        <x:f>COUNTIF('Tactic Data'!$A$5:$A$500,$A9)</x:f>
        <x:v>6</x:v>
      </x:c>
      <x:c r="E9" s="24">
        <x:f>COUNTIFS('Tactic Data'!$A$5:$A$500,$A9,'Tactic Data'!$J$5:$J$500,"Accepted")</x:f>
        <x:v>5</x:v>
      </x:c>
      <x:c r="F9" s="24">
        <x:f>COUNTIFS('Tactic Data'!$A$5:$A$500,$A9,'Tactic Data'!$J$5:$J$500,"Rejected")</x:f>
        <x:v>1</x:v>
      </x:c>
      <x:c r="G9" s="24">
        <x:f>COUNTIFS('Tactic Data'!$A$5:$A$500,$A9,'Tactic Data'!$J$5:$J$500,"Partial")</x:f>
        <x:v>0</x:v>
      </x:c>
      <x:c r="H9" s="24">
        <x:f>COUNTIFS('Tactic Data'!$A$5:$A$500,$A9,'Tactic Data'!$J$5:$J$500,"Deferred")</x:f>
        <x:v>0</x:v>
      </x:c>
      <x:c r="I9" s="24">
        <x:f>COUNTIFS('Tactic Data'!$A$5:$A$500,$A9,'Tactic Data'!$J$5:$J$500,"Open")</x:f>
        <x:v>0</x:v>
      </x:c>
      <x:c r="J9" s="26">
        <x:f>SUMIFS('Tactic Data'!$F$5:$F$500,'Tactic Data'!$A$5:$A$500,$A9)/$D9</x:f>
        <x:v>1</x:v>
      </x:c>
      <x:c r="K9" s="26">
        <x:f>SUMIFS('Tactic Data'!$G$5:$G$500,'Tactic Data'!$A$5:$A$500,$A9)/$D9</x:f>
        <x:v>0.8333333333333334</x:v>
      </x:c>
      <x:c r="L9" s="26">
        <x:f>SUMIFS('Tactic Data'!$H$5:$H$500,'Tactic Data'!$A$5:$A$500,$A9)/$D9</x:f>
        <x:v>0.8333333333333334</x:v>
      </x:c>
      <x:c r="M9" s="26">
        <x:f>SUMIFS('Tactic Data'!$I$5:$I$500,'Tactic Data'!$A$5:$A$500,$A9)/$D9</x:f>
        <x:v>0.8333333333333334</x:v>
      </x:c>
      <x:c r="N9" s="24" t="str">
        <x:f>IF($F9=0,"Yes","No")</x:f>
        <x:v>No</x:v>
      </x:c>
      <x:c r="O9" s="24" t="str">
        <x:f>IF($K9=1,"Yes","No")</x:f>
        <x:v>No</x:v>
      </x:c>
      <x:c r="P9" s="24" t="str">
        <x:f>IF($L9=1,"Yes","No")</x:f>
        <x:v>No</x:v>
      </x:c>
      <x:c r="Q9" s="24" t="str">
        <x:f>IF($M9=1,"Yes","No")</x:f>
        <x:v>No</x:v>
      </x:c>
      <x:c r="R9" s="19" t="inlineStr">
        <x:is>
          <x:t xml:space="preserve">Partial</x:t>
        </x:is>
      </x:c>
      <x:c r="S9" s="25" t="inlineStr">
        <x:is>
          <x:t xml:space="preserve">The backward direction is clean; the forward direction fails under non-monotone transfer data.</x:t>
        </x:is>
      </x:c>
    </x:row>
    <x:row r="10" ht="120" customHeight="1">
      <x:c r="A10" s="24" t="n">
        <x:v>6</x:v>
      </x:c>
      <x:c r="B10" s="25" t="inlineStr">
        <x:is>
          <x:t xml:space="preserve">Schur-complement certificates</x:t>
        </x:is>
      </x:c>
      <x:c r="C10" s="25" t="inlineStr">
        <x:is>
          <x:t xml:space="preserve">Spectral graph theory and algorithms</x:t>
        </x:is>
      </x:c>
      <x:c r="D10" s="24">
        <x:f>COUNTIF('Tactic Data'!$A$5:$A$500,$A10)</x:f>
        <x:v>7</x:v>
      </x:c>
      <x:c r="E10" s="24">
        <x:f>COUNTIFS('Tactic Data'!$A$5:$A$500,$A10,'Tactic Data'!$J$5:$J$500,"Accepted")</x:f>
        <x:v>7</x:v>
      </x:c>
      <x:c r="F10" s="24">
        <x:f>COUNTIFS('Tactic Data'!$A$5:$A$500,$A10,'Tactic Data'!$J$5:$J$500,"Rejected")</x:f>
        <x:v>0</x:v>
      </x:c>
      <x:c r="G10" s="24">
        <x:f>COUNTIFS('Tactic Data'!$A$5:$A$500,$A10,'Tactic Data'!$J$5:$J$500,"Partial")</x:f>
        <x:v>0</x:v>
      </x:c>
      <x:c r="H10" s="24">
        <x:f>COUNTIFS('Tactic Data'!$A$5:$A$500,$A10,'Tactic Data'!$J$5:$J$500,"Deferred")</x:f>
        <x:v>0</x:v>
      </x:c>
      <x:c r="I10" s="24">
        <x:f>COUNTIFS('Tactic Data'!$A$5:$A$500,$A10,'Tactic Data'!$J$5:$J$500,"Open")</x:f>
        <x:v>0</x:v>
      </x:c>
      <x:c r="J10" s="26">
        <x:f>SUMIFS('Tactic Data'!$F$5:$F$500,'Tactic Data'!$A$5:$A$500,$A10)/$D10</x:f>
        <x:v>1</x:v>
      </x:c>
      <x:c r="K10" s="26">
        <x:f>SUMIFS('Tactic Data'!$G$5:$G$500,'Tactic Data'!$A$5:$A$500,$A10)/$D10</x:f>
        <x:v>1</x:v>
      </x:c>
      <x:c r="L10" s="26">
        <x:f>SUMIFS('Tactic Data'!$H$5:$H$500,'Tactic Data'!$A$5:$A$500,$A10)/$D10</x:f>
        <x:v>1</x:v>
      </x:c>
      <x:c r="M10" s="26">
        <x:f>SUMIFS('Tactic Data'!$I$5:$I$500,'Tactic Data'!$A$5:$A$500,$A10)/$D10</x:f>
        <x:v>0.7142857142857143</x:v>
      </x:c>
      <x:c r="N10" s="24" t="str">
        <x:f>IF($F10=0,"Yes","No")</x:f>
        <x:v>Yes</x:v>
      </x:c>
      <x:c r="O10" s="24" t="str">
        <x:f>IF($K10=1,"Yes","No")</x:f>
        <x:v>Yes</x:v>
      </x:c>
      <x:c r="P10" s="24" t="str">
        <x:f>IF($L10=1,"Yes","No")</x:f>
        <x:v>Yes</x:v>
      </x:c>
      <x:c r="Q10" s="24" t="str">
        <x:f>IF($M10=1,"Yes","No")</x:f>
        <x:v>No</x:v>
      </x:c>
      <x:c r="R10" s="17" t="inlineStr">
        <x:is>
          <x:t xml:space="preserve">Accepted</x:t>
        </x:is>
      </x:c>
      <x:c r="S10" s="25" t="inlineStr">
        <x:is>
          <x:t xml:space="preserve">Clean end-to-end proof at the scope attempted.</x:t>
        </x:is>
      </x:c>
    </x:row>
    <x:row r="11" ht="120" customHeight="1">
      <x:c r="A11" s="24" t="n">
        <x:v>7</x:v>
      </x:c>
      <x:c r="B11" s="25" t="inlineStr">
        <x:is>
          <x:t xml:space="preserve">Q-acyclic universal covers</x:t>
        </x:is>
      </x:c>
      <x:c r="C11" s="25" t="inlineStr">
        <x:is>
          <x:t xml:space="preserve">Topology and geometric group theory</x:t>
        </x:is>
      </x:c>
      <x:c r="D11" s="24">
        <x:f>COUNTIF('Tactic Data'!$A$5:$A$500,$A11)</x:f>
        <x:v>9</x:v>
      </x:c>
      <x:c r="E11" s="24">
        <x:f>COUNTIFS('Tactic Data'!$A$5:$A$500,$A11,'Tactic Data'!$J$5:$J$500,"Accepted")</x:f>
        <x:v>8</x:v>
      </x:c>
      <x:c r="F11" s="24">
        <x:f>COUNTIFS('Tactic Data'!$A$5:$A$500,$A11,'Tactic Data'!$J$5:$J$500,"Rejected")</x:f>
        <x:v>0</x:v>
      </x:c>
      <x:c r="G11" s="24">
        <x:f>COUNTIFS('Tactic Data'!$A$5:$A$500,$A11,'Tactic Data'!$J$5:$J$500,"Partial")</x:f>
        <x:v>1</x:v>
      </x:c>
      <x:c r="H11" s="24">
        <x:f>COUNTIFS('Tactic Data'!$A$5:$A$500,$A11,'Tactic Data'!$J$5:$J$500,"Deferred")</x:f>
        <x:v>0</x:v>
      </x:c>
      <x:c r="I11" s="24">
        <x:f>COUNTIFS('Tactic Data'!$A$5:$A$500,$A11,'Tactic Data'!$J$5:$J$500,"Open")</x:f>
        <x:v>0</x:v>
      </x:c>
      <x:c r="J11" s="26">
        <x:f>SUMIFS('Tactic Data'!$F$5:$F$500,'Tactic Data'!$A$5:$A$500,$A11)/$D11</x:f>
        <x:v>1</x:v>
      </x:c>
      <x:c r="K11" s="26">
        <x:f>SUMIFS('Tactic Data'!$G$5:$G$500,'Tactic Data'!$A$5:$A$500,$A11)/$D11</x:f>
        <x:v>1</x:v>
      </x:c>
      <x:c r="L11" s="26">
        <x:f>SUMIFS('Tactic Data'!$H$5:$H$500,'Tactic Data'!$A$5:$A$500,$A11)/$D11</x:f>
        <x:v>0.8888888888888888</x:v>
      </x:c>
      <x:c r="M11" s="26">
        <x:f>SUMIFS('Tactic Data'!$I$5:$I$500,'Tactic Data'!$A$5:$A$500,$A11)/$D11</x:f>
        <x:v>1</x:v>
      </x:c>
      <x:c r="N11" s="24" t="str">
        <x:f>IF($F11=0,"Yes","No")</x:f>
        <x:v>Yes</x:v>
      </x:c>
      <x:c r="O11" s="24" t="str">
        <x:f>IF($K11=1,"Yes","No")</x:f>
        <x:v>Yes</x:v>
      </x:c>
      <x:c r="P11" s="24" t="str">
        <x:f>IF($L11=1,"Yes","No")</x:f>
        <x:v>No</x:v>
      </x:c>
      <x:c r="Q11" s="24" t="str">
        <x:f>IF($M11=1,"Yes","No")</x:f>
        <x:v>Yes</x:v>
      </x:c>
      <x:c r="R11" s="19" t="inlineStr">
        <x:is>
          <x:t xml:space="preserve">Partial</x:t>
        </x:is>
      </x:c>
      <x:c r="S11" s="25" t="inlineStr">
        <x:is>
          <x:t xml:space="preserve">The obstruction chain is strong, but one existence premise is not established in the sheet.</x:t>
        </x:is>
      </x:c>
    </x:row>
    <x:row r="12" ht="120" customHeight="1">
      <x:c r="A12" s="24" t="n">
        <x:v>8</x:v>
      </x:c>
      <x:c r="B12" s="25" t="inlineStr">
        <x:is>
          <x:t xml:space="preserve">Lagrangian smoothing obstruction</x:t>
        </x:is>
      </x:c>
      <x:c r="C12" s="25" t="inlineStr">
        <x:is>
          <x:t xml:space="preserve">Symplectic topology</x:t>
        </x:is>
      </x:c>
      <x:c r="D12" s="24">
        <x:f>COUNTIF('Tactic Data'!$A$5:$A$500,$A12)</x:f>
        <x:v>8</x:v>
      </x:c>
      <x:c r="E12" s="24">
        <x:f>COUNTIFS('Tactic Data'!$A$5:$A$500,$A12,'Tactic Data'!$J$5:$J$500,"Accepted")</x:f>
        <x:v>8</x:v>
      </x:c>
      <x:c r="F12" s="24">
        <x:f>COUNTIFS('Tactic Data'!$A$5:$A$500,$A12,'Tactic Data'!$J$5:$J$500,"Rejected")</x:f>
        <x:v>0</x:v>
      </x:c>
      <x:c r="G12" s="24">
        <x:f>COUNTIFS('Tactic Data'!$A$5:$A$500,$A12,'Tactic Data'!$J$5:$J$500,"Partial")</x:f>
        <x:v>0</x:v>
      </x:c>
      <x:c r="H12" s="24">
        <x:f>COUNTIFS('Tactic Data'!$A$5:$A$500,$A12,'Tactic Data'!$J$5:$J$500,"Deferred")</x:f>
        <x:v>0</x:v>
      </x:c>
      <x:c r="I12" s="24">
        <x:f>COUNTIFS('Tactic Data'!$A$5:$A$500,$A12,'Tactic Data'!$J$5:$J$500,"Open")</x:f>
        <x:v>0</x:v>
      </x:c>
      <x:c r="J12" s="26">
        <x:f>SUMIFS('Tactic Data'!$F$5:$F$500,'Tactic Data'!$A$5:$A$500,$A12)/$D12</x:f>
        <x:v>1</x:v>
      </x:c>
      <x:c r="K12" s="26">
        <x:f>SUMIFS('Tactic Data'!$G$5:$G$500,'Tactic Data'!$A$5:$A$500,$A12)/$D12</x:f>
        <x:v>1</x:v>
      </x:c>
      <x:c r="L12" s="26">
        <x:f>SUMIFS('Tactic Data'!$H$5:$H$500,'Tactic Data'!$A$5:$A$500,$A12)/$D12</x:f>
        <x:v>1</x:v>
      </x:c>
      <x:c r="M12" s="26">
        <x:f>SUMIFS('Tactic Data'!$I$5:$I$500,'Tactic Data'!$A$5:$A$500,$A12)/$D12</x:f>
        <x:v>1</x:v>
      </x:c>
      <x:c r="N12" s="24" t="str">
        <x:f>IF($F12=0,"Yes","No")</x:f>
        <x:v>Yes</x:v>
      </x:c>
      <x:c r="O12" s="24" t="str">
        <x:f>IF($K12=1,"Yes","No")</x:f>
        <x:v>Yes</x:v>
      </x:c>
      <x:c r="P12" s="24" t="str">
        <x:f>IF($L12=1,"Yes","No")</x:f>
        <x:v>Yes</x:v>
      </x:c>
      <x:c r="Q12" s="24" t="str">
        <x:f>IF($M12=1,"Yes","No")</x:f>
        <x:v>Yes</x:v>
      </x:c>
      <x:c r="R12" s="17" t="inlineStr">
        <x:is>
          <x:t xml:space="preserve">Accepted</x:t>
        </x:is>
      </x:c>
      <x:c r="S12" s="25" t="inlineStr">
        <x:is>
          <x:t xml:space="preserve">A local Maslov-index computation closes the obstruction cleanly.</x:t>
        </x:is>
      </x:c>
    </x:row>
    <x:row r="13" ht="120" customHeight="1">
      <x:c r="A13" s="24" t="n">
        <x:v>9</x:v>
      </x:c>
      <x:c r="B13" s="25" t="inlineStr">
        <x:is>
          <x:t xml:space="preserve">Rank-one scaling certificate</x:t>
        </x:is>
      </x:c>
      <x:c r="C13" s="25" t="inlineStr">
        <x:is>
          <x:t xml:space="preserve">Algebraic geometry and tensor methods</x:t>
        </x:is>
      </x:c>
      <x:c r="D13" s="24">
        <x:f>COUNTIF('Tactic Data'!$A$5:$A$500,$A13)</x:f>
        <x:v>10</x:v>
      </x:c>
      <x:c r="E13" s="24">
        <x:f>COUNTIFS('Tactic Data'!$A$5:$A$500,$A13,'Tactic Data'!$J$5:$J$500,"Accepted")</x:f>
        <x:v>10</x:v>
      </x:c>
      <x:c r="F13" s="24">
        <x:f>COUNTIFS('Tactic Data'!$A$5:$A$500,$A13,'Tactic Data'!$J$5:$J$500,"Rejected")</x:f>
        <x:v>0</x:v>
      </x:c>
      <x:c r="G13" s="24">
        <x:f>COUNTIFS('Tactic Data'!$A$5:$A$500,$A13,'Tactic Data'!$J$5:$J$500,"Partial")</x:f>
        <x:v>0</x:v>
      </x:c>
      <x:c r="H13" s="24">
        <x:f>COUNTIFS('Tactic Data'!$A$5:$A$500,$A13,'Tactic Data'!$J$5:$J$500,"Deferred")</x:f>
        <x:v>0</x:v>
      </x:c>
      <x:c r="I13" s="24">
        <x:f>COUNTIFS('Tactic Data'!$A$5:$A$500,$A13,'Tactic Data'!$J$5:$J$500,"Open")</x:f>
        <x:v>0</x:v>
      </x:c>
      <x:c r="J13" s="26">
        <x:f>SUMIFS('Tactic Data'!$F$5:$F$500,'Tactic Data'!$A$5:$A$500,$A13)/$D13</x:f>
        <x:v>1</x:v>
      </x:c>
      <x:c r="K13" s="26">
        <x:f>SUMIFS('Tactic Data'!$G$5:$G$500,'Tactic Data'!$A$5:$A$500,$A13)/$D13</x:f>
        <x:v>1</x:v>
      </x:c>
      <x:c r="L13" s="26">
        <x:f>SUMIFS('Tactic Data'!$H$5:$H$500,'Tactic Data'!$A$5:$A$500,$A13)/$D13</x:f>
        <x:v>1</x:v>
      </x:c>
      <x:c r="M13" s="26">
        <x:f>SUMIFS('Tactic Data'!$I$5:$I$500,'Tactic Data'!$A$5:$A$500,$A13)/$D13</x:f>
        <x:v>1</x:v>
      </x:c>
      <x:c r="N13" s="24" t="str">
        <x:f>IF($F13=0,"Yes","No")</x:f>
        <x:v>Yes</x:v>
      </x:c>
      <x:c r="O13" s="24" t="str">
        <x:f>IF($K13=1,"Yes","No")</x:f>
        <x:v>Yes</x:v>
      </x:c>
      <x:c r="P13" s="24" t="str">
        <x:f>IF($L13=1,"Yes","No")</x:f>
        <x:v>Yes</x:v>
      </x:c>
      <x:c r="Q13" s="24" t="str">
        <x:f>IF($M13=1,"Yes","No")</x:f>
        <x:v>Yes</x:v>
      </x:c>
      <x:c r="R13" s="17" t="inlineStr">
        <x:is>
          <x:t xml:space="preserve">Accepted</x:t>
        </x:is>
      </x:c>
      <x:c r="S13" s="25" t="inlineStr">
        <x:is>
          <x:t xml:space="preserve">A deep rigidity chain closes the argument cleanly and robustly.</x:t>
        </x:is>
      </x:c>
    </x:row>
    <x:row r="14" ht="120" customHeight="1">
      <x:c r="A14" s="24" t="n">
        <x:v>10</x:v>
      </x:c>
      <x:c r="B14" s="25" t="inlineStr">
        <x:is>
          <x:t xml:space="preserve">Matrix-free PCG for RKHS</x:t>
        </x:is>
      </x:c>
      <x:c r="C14" s="25" t="inlineStr">
        <x:is>
          <x:t xml:space="preserve">Numerical linear algebra and kernel methods</x:t>
        </x:is>
      </x:c>
      <x:c r="D14" s="24">
        <x:f>COUNTIF('Tactic Data'!$A$5:$A$500,$A14)</x:f>
        <x:v>12</x:v>
      </x:c>
      <x:c r="E14" s="24">
        <x:f>COUNTIFS('Tactic Data'!$A$5:$A$500,$A14,'Tactic Data'!$J$5:$J$500,"Accepted")</x:f>
        <x:v>11</x:v>
      </x:c>
      <x:c r="F14" s="24">
        <x:f>COUNTIFS('Tactic Data'!$A$5:$A$500,$A14,'Tactic Data'!$J$5:$J$500,"Rejected")</x:f>
        <x:v>0</x:v>
      </x:c>
      <x:c r="G14" s="24">
        <x:f>COUNTIFS('Tactic Data'!$A$5:$A$500,$A14,'Tactic Data'!$J$5:$J$500,"Partial")</x:f>
        <x:v>1</x:v>
      </x:c>
      <x:c r="H14" s="24">
        <x:f>COUNTIFS('Tactic Data'!$A$5:$A$500,$A14,'Tactic Data'!$J$5:$J$500,"Deferred")</x:f>
        <x:v>0</x:v>
      </x:c>
      <x:c r="I14" s="24">
        <x:f>COUNTIFS('Tactic Data'!$A$5:$A$500,$A14,'Tactic Data'!$J$5:$J$500,"Open")</x:f>
        <x:v>0</x:v>
      </x:c>
      <x:c r="J14" s="26">
        <x:f>SUMIFS('Tactic Data'!$F$5:$F$500,'Tactic Data'!$A$5:$A$500,$A14)/$D14</x:f>
        <x:v>1</x:v>
      </x:c>
      <x:c r="K14" s="26">
        <x:f>SUMIFS('Tactic Data'!$G$5:$G$500,'Tactic Data'!$A$5:$A$500,$A14)/$D14</x:f>
        <x:v>1</x:v>
      </x:c>
      <x:c r="L14" s="26">
        <x:f>SUMIFS('Tactic Data'!$H$5:$H$500,'Tactic Data'!$A$5:$A$500,$A14)/$D14</x:f>
        <x:v>0.9166666666666666</x:v>
      </x:c>
      <x:c r="M14" s="26">
        <x:f>SUMIFS('Tactic Data'!$I$5:$I$500,'Tactic Data'!$A$5:$A$500,$A14)/$D14</x:f>
        <x:v>0.8333333333333334</x:v>
      </x:c>
      <x:c r="N14" s="24" t="str">
        <x:f>IF($F14=0,"Yes","No")</x:f>
        <x:v>Yes</x:v>
      </x:c>
      <x:c r="O14" s="24" t="str">
        <x:f>IF($K14=1,"Yes","No")</x:f>
        <x:v>Yes</x:v>
      </x:c>
      <x:c r="P14" s="24" t="str">
        <x:f>IF($L14=1,"Yes","No")</x:f>
        <x:v>No</x:v>
      </x:c>
      <x:c r="Q14" s="24" t="str">
        <x:f>IF($M14=1,"Yes","No")</x:f>
        <x:v>No</x:v>
      </x:c>
      <x:c r="R14" s="27" t="inlineStr">
        <x:is>
          <x:t xml:space="preserve">Mixed</x:t>
        </x:is>
      </x:c>
      <x:c r="S14" s="25" t="inlineStr">
        <x:is>
          <x:t xml:space="preserve">The algorithmic core is complete, but the without-replacement concentration step remains external.</x:t>
        </x:is>
      </x:c>
    </x:row>
  </x:sheetData>
  <x:mergeCells>
    <x:mergeCell ref="A2:S2"/>
    <x:mergeCell ref="A1:S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customWidth="1"/>
    <x:col min="2" max="2" width="12" customWidth="1"/>
    <x:col min="3" max="3" width="12" customWidth="1"/>
    <x:col min="4" max="4" width="74" customWidth="1"/>
  </x:cols>
  <x:sheetData>
    <x:row r="1">
      <x:c r="A1" s="1" t="inlineStr">
        <x:is>
          <x:t xml:space="preserve">Aggregate Metrics</x:t>
        </x:is>
      </x:c>
    </x:row>
    <x:row r="2">
      <x:c r="A2" s="2" t="inlineStr">
        <x:is>
          <x:t xml:space="preserve">All counts and rates are formula-linked to the tactic and proof sheets, so the workbook stays stable under revision.</x:t>
        </x:is>
      </x:c>
    </x:row>
    <x:row r="4">
      <x:c r="A4" s="7" t="inlineStr">
        <x:is>
          <x:t xml:space="preserve">Core totals</x:t>
        </x:is>
      </x:c>
      <x:c r="B4" s="7" t="n"/>
      <x:c r="C4" s="7" t="n"/>
      <x:c r="D4" s="7" t="n"/>
    </x:row>
    <x:row r="5" ht="60" customHeight="1">
      <x:c r="A5" s="9" t="inlineStr">
        <x:is>
          <x:t xml:space="preserve">Problems</x:t>
        </x:is>
      </x:c>
      <x:c r="B5" s="15">
        <x:f>COUNTA('Proof Summary'!$A$5:$A$14)</x:f>
        <x:v>10</x:v>
      </x:c>
      <x:c r="C5" s="15" t="inlineStr">
        <x:is>
          <x:t xml:space="preserve"/>
        </x:is>
      </x:c>
      <x:c r="D5" s="9" t="inlineStr">
        <x:is>
          <x:t xml:space="preserve">Distinct benchmark tasks in this pilot.</x:t>
        </x:is>
      </x:c>
    </x:row>
    <x:row r="6" ht="60" customHeight="1">
      <x:c r="A6" s="9" t="inlineStr">
        <x:is>
          <x:t xml:space="preserve">Audited steps</x:t>
        </x:is>
      </x:c>
      <x:c r="B6" s="15">
        <x:f>COUNTA('Tactic Data'!$A$5:$A$500)</x:f>
        <x:v>85</x:v>
      </x:c>
      <x:c r="C6" s="15" t="inlineStr">
        <x:is>
          <x:t xml:space="preserve"/>
        </x:is>
      </x:c>
      <x:c r="D6" s="9" t="inlineStr">
        <x:is>
          <x:t xml:space="preserve">All candidate steps preserved in the public release.</x:t>
        </x:is>
      </x:c>
    </x:row>
    <x:row r="7" ht="18" customHeight="1"/>
    <x:row r="8">
      <x:c r="A8" s="7" t="inlineStr">
        <x:is>
          <x:t xml:space="preserve">Verdict distribution</x:t>
        </x:is>
      </x:c>
      <x:c r="B8" s="7" t="n"/>
      <x:c r="C8" s="7" t="n"/>
      <x:c r="D8" s="7" t="n"/>
    </x:row>
    <x:row r="9" ht="75" customHeight="1">
      <x:c r="A9" s="28" t="inlineStr">
        <x:is>
          <x:t xml:space="preserve">Accepted</x:t>
        </x:is>
      </x:c>
      <x:c r="B9" s="15">
        <x:f>COUNTIF('Tactic Data'!$J$5:$J$500,"Accepted")</x:f>
        <x:v>65</x:v>
      </x:c>
      <x:c r="C9" s="29">
        <x:f>B9/$B$6</x:f>
        <x:v>0.7647058823529411</x:v>
      </x:c>
      <x:c r="D9" s="9" t="inlineStr">
        <x:is>
          <x:t xml:space="preserve">Accepted = valid and goal-complete at the claimed scope.</x:t>
        </x:is>
      </x:c>
    </x:row>
    <x:row r="10" ht="75" customHeight="1">
      <x:c r="A10" s="30" t="inlineStr">
        <x:is>
          <x:t xml:space="preserve">Rejected</x:t>
        </x:is>
      </x:c>
      <x:c r="B10" s="15">
        <x:f>COUNTIF('Tactic Data'!$J$5:$J$500,"Rejected")</x:f>
        <x:v>6</x:v>
      </x:c>
      <x:c r="C10" s="29">
        <x:f>B10/$B$6</x:f>
        <x:v>0.07058823529411765</x:v>
      </x:c>
      <x:c r="D10" s="9" t="inlineStr">
        <x:is>
          <x:t xml:space="preserve">Rejected steps are either invalid inferences or routes explicitly ruled out.</x:t>
        </x:is>
      </x:c>
    </x:row>
    <x:row r="11" ht="75" customHeight="1">
      <x:c r="A11" s="31" t="inlineStr">
        <x:is>
          <x:t xml:space="preserve">Partial</x:t>
        </x:is>
      </x:c>
      <x:c r="B11" s="15">
        <x:f>COUNTIF('Tactic Data'!$J$5:$J$500,"Partial")</x:f>
        <x:v>6</x:v>
      </x:c>
      <x:c r="C11" s="29">
        <x:f>B11/$B$6</x:f>
        <x:v>0.07058823529411765</x:v>
      </x:c>
      <x:c r="D11" s="9" t="inlineStr">
        <x:is>
          <x:t xml:space="preserve">A meaningful step with an unresolved subgoal or missing premise.</x:t>
        </x:is>
      </x:c>
    </x:row>
    <x:row r="12" ht="75" customHeight="1">
      <x:c r="A12" s="32" t="inlineStr">
        <x:is>
          <x:t xml:space="preserve">Deferred</x:t>
        </x:is>
      </x:c>
      <x:c r="B12" s="15">
        <x:f>COUNTIF('Tactic Data'!$J$5:$J$500,"Deferred")</x:f>
        <x:v>6</x:v>
      </x:c>
      <x:c r="C12" s="29">
        <x:f>B12/$B$6</x:f>
        <x:v>0.07058823529411765</x:v>
      </x:c>
      <x:c r="D12" s="9" t="inlineStr">
        <x:is>
          <x:t xml:space="preserve">A plausible route that is not developed far enough to judge conclusively.</x:t>
        </x:is>
      </x:c>
    </x:row>
    <x:row r="13" ht="60" customHeight="1">
      <x:c r="A13" s="33" t="inlineStr">
        <x:is>
          <x:t xml:space="preserve">Open</x:t>
        </x:is>
      </x:c>
      <x:c r="B13" s="15">
        <x:f>COUNTIF('Tactic Data'!$J$5:$J$500,"Open")</x:f>
        <x:v>2</x:v>
      </x:c>
      <x:c r="C13" s="29">
        <x:f>B13/$B$6</x:f>
        <x:v>0.023529411764705882</x:v>
      </x:c>
      <x:c r="D13" s="9" t="inlineStr">
        <x:is>
          <x:t xml:space="preserve">An explicit bridge statement or conjectural dependency left unresolved.</x:t>
        </x:is>
      </x:c>
    </x:row>
    <x:row r="14" ht="18" customHeight="1"/>
    <x:row r="15">
      <x:c r="A15" s="7" t="inlineStr">
        <x:is>
          <x:t xml:space="preserve">Step-level pass rates</x:t>
        </x:is>
      </x:c>
      <x:c r="B15" s="7" t="n"/>
      <x:c r="C15" s="7" t="n"/>
      <x:c r="D15" s="7" t="n"/>
    </x:row>
    <x:row r="16" ht="45" customHeight="1">
      <x:c r="A16" s="9" t="inlineStr">
        <x:is>
          <x:t xml:space="preserve">Assumption compliance</x:t>
        </x:is>
      </x:c>
      <x:c r="B16" s="15">
        <x:f>SUM('Tactic Data'!$F$5:$F$500)</x:f>
        <x:v>85</x:v>
      </x:c>
      <x:c r="C16" s="29">
        <x:f>B16/$B$6</x:f>
        <x:v>1</x:v>
      </x:c>
      <x:c r="D16" s="9" t="inlineStr">
        <x:is>
          <x:t xml:space="preserve">No step leaves the stated hypothesis space in the pilot.</x:t>
        </x:is>
      </x:c>
    </x:row>
    <x:row r="17" ht="45" customHeight="1">
      <x:c r="A17" s="9" t="inlineStr">
        <x:is>
          <x:t xml:space="preserve">Inference validity</x:t>
        </x:is>
      </x:c>
      <x:c r="B17" s="15">
        <x:f>SUM('Tactic Data'!$G$5:$G$500)</x:f>
        <x:v>83</x:v>
      </x:c>
      <x:c r="C17" s="29">
        <x:f>B17/$B$6</x:f>
        <x:v>0.9764705882352941</x:v>
      </x:c>
      <x:c r="D17" s="9" t="inlineStr">
        <x:is>
          <x:t xml:space="preserve">Outright mathematical invalidity is rare.</x:t>
        </x:is>
      </x:c>
    </x:row>
    <x:row r="18" ht="45" customHeight="1">
      <x:c r="A18" s="9" t="inlineStr">
        <x:is>
          <x:t xml:space="preserve">Goal completion</x:t>
        </x:is>
      </x:c>
      <x:c r="B18" s="15">
        <x:f>SUM('Tactic Data'!$H$5:$H$500)</x:f>
        <x:v>65</x:v>
      </x:c>
      <x:c r="C18" s="29">
        <x:f>B18/$B$6</x:f>
        <x:v>0.7647058823529411</x:v>
      </x:c>
      <x:c r="D18" s="9" t="inlineStr">
        <x:is>
          <x:t xml:space="preserve">Many steps are directionally useful but stop short of closure.</x:t>
        </x:is>
      </x:c>
    </x:row>
    <x:row r="19" ht="45" customHeight="1">
      <x:c r="A19" s="9" t="inlineStr">
        <x:is>
          <x:t xml:space="preserve">Generalization robustness</x:t>
        </x:is>
      </x:c>
      <x:c r="B19" s="15">
        <x:f>SUM('Tactic Data'!$I$5:$I$500)</x:f>
        <x:v>59</x:v>
      </x:c>
      <x:c r="C19" s="29">
        <x:f>B19/$B$6</x:f>
        <x:v>0.6941176470588235</x:v>
      </x:c>
      <x:c r="D19" s="9" t="inlineStr">
        <x:is>
          <x:t xml:space="preserve">This is the main bottleneck: many locally good steps do not transport.</x:t>
        </x:is>
      </x:c>
    </x:row>
    <x:row r="20" ht="18" customHeight="1"/>
    <x:row r="21">
      <x:c r="A21" s="7" t="inlineStr">
        <x:is>
          <x:t xml:space="preserve">Key gap</x:t>
        </x:is>
      </x:c>
      <x:c r="B21" s="7" t="n"/>
      <x:c r="C21" s="7" t="n"/>
      <x:c r="D21" s="7" t="n"/>
    </x:row>
    <x:row r="22" ht="30" customHeight="1">
      <x:c r="A22" s="9" t="inlineStr">
        <x:is>
          <x:t xml:space="preserve">Inference-validity minus robustness gap</x:t>
        </x:is>
      </x:c>
      <x:c r="B22" s="15" t="inlineStr">
        <x:is>
          <x:t xml:space="preserve"/>
        </x:is>
      </x:c>
      <x:c r="C22" s="29">
        <x:f>C17-C19</x:f>
        <x:v>0.2823529411764706</x:v>
      </x:c>
      <x:c r="D22" s="9" t="inlineStr">
        <x:is>
          <x:t xml:space="preserve">A large positive gap means the model is usually locally correct before it fails to transport the mechanism to the full target.</x:t>
        </x:is>
      </x:c>
    </x:row>
    <x:row r="23" ht="18" customHeight="1"/>
    <x:row r="24">
      <x:c r="A24" s="7" t="inlineStr">
        <x:is>
          <x:t xml:space="preserve">Proof-level rollups</x:t>
        </x:is>
      </x:c>
      <x:c r="B24" s="7" t="n"/>
      <x:c r="C24" s="7" t="n"/>
      <x:c r="D24" s="7" t="n"/>
    </x:row>
    <x:row r="25" ht="60" customHeight="1">
      <x:c r="A25" s="9" t="inlineStr">
        <x:is>
          <x:t xml:space="preserve">Proofs with no rejected step</x:t>
        </x:is>
      </x:c>
      <x:c r="B25" s="15">
        <x:f>COUNTIF('Proof Summary'!$N$5:$N$14,"Yes")</x:f>
        <x:v>7</x:v>
      </x:c>
      <x:c r="C25" s="29">
        <x:f>B25/$B$5</x:f>
        <x:v>0.7</x:v>
      </x:c>
      <x:c r="D25" s="9" t="inlineStr">
        <x:is>
          <x:t xml:space="preserve">Searches that avoid explicit route failure entirely.</x:t>
        </x:is>
      </x:c>
    </x:row>
    <x:row r="26" ht="60" customHeight="1">
      <x:c r="A26" s="9" t="inlineStr">
        <x:is>
          <x:t xml:space="preserve">Proofs with no invalid inference</x:t>
        </x:is>
      </x:c>
      <x:c r="B26" s="15">
        <x:f>COUNTIF('Proof Summary'!$O$5:$O$14,"Yes")</x:f>
        <x:v>8</x:v>
      </x:c>
      <x:c r="C26" s="29">
        <x:f>B26/$B$5</x:f>
        <x:v>0.8</x:v>
      </x:c>
      <x:c r="D26" s="9" t="inlineStr">
        <x:is>
          <x:t xml:space="preserve">Proofs whose audited steps are all mathematically valid as written.</x:t>
        </x:is>
      </x:c>
    </x:row>
    <x:row r="27" ht="60" customHeight="1">
      <x:c r="A27" s="9" t="inlineStr">
        <x:is>
          <x:t xml:space="preserve">Fully goal-complete proofs</x:t>
        </x:is>
      </x:c>
      <x:c r="B27" s="15">
        <x:f>COUNTIF('Proof Summary'!$P$5:$P$14,"Yes")</x:f>
        <x:v>3</x:v>
      </x:c>
      <x:c r="C27" s="29">
        <x:f>B27/$B$5</x:f>
        <x:v>0.3</x:v>
      </x:c>
      <x:c r="D27" s="9" t="inlineStr">
        <x:is>
          <x:t xml:space="preserve">Every step-level subgoal closes.</x:t>
        </x:is>
      </x:c>
    </x:row>
    <x:row r="28" ht="60" customHeight="1">
      <x:c r="A28" s="9" t="inlineStr">
        <x:is>
          <x:t xml:space="preserve">Fully robust proofs</x:t>
        </x:is>
      </x:c>
      <x:c r="B28" s="15">
        <x:f>COUNTIF('Proof Summary'!$Q$5:$Q$14,"Yes")</x:f>
        <x:v>4</x:v>
      </x:c>
      <x:c r="C28" s="29">
        <x:f>B28/$B$5</x:f>
        <x:v>0.4</x:v>
      </x:c>
      <x:c r="D28" s="9" t="inlineStr">
        <x:is>
          <x:t xml:space="preserve">Every accepted step survives expansion to the full target.</x:t>
        </x:is>
      </x:c>
    </x:row>
    <x:row r="29" ht="75" customHeight="1">
      <x:c r="A29" s="9" t="inlineStr">
        <x:is>
          <x:t xml:space="preserve">Accepted theorem-level proofs</x:t>
        </x:is>
      </x:c>
      <x:c r="B29" s="15">
        <x:f>COUNTIF('Proof Summary'!$R$5:$R$14,"Accepted")</x:f>
        <x:v>3</x:v>
      </x:c>
      <x:c r="C29" s="29">
        <x:f>B29/$B$5</x:f>
        <x:v>0.3</x:v>
      </x:c>
      <x:c r="D29" s="9" t="inlineStr">
        <x:is>
          <x:t xml:space="preserve">Three theorem-level proofs are cleanly accepted in this release.</x:t>
        </x:is>
      </x:c>
    </x:row>
    <x:row r="30" ht="60" customHeight="1">
      <x:c r="A30" s="9" t="inlineStr">
        <x:is>
          <x:t xml:space="preserve">Mixed accepted/partial cases</x:t>
        </x:is>
      </x:c>
      <x:c r="B30" s="15">
        <x:f>COUNTIF('Proof Summary'!$R$5:$R$14,"Mixed")</x:f>
        <x:v>1</x:v>
      </x:c>
      <x:c r="C30" s="29">
        <x:f>B30/$B$5</x:f>
        <x:v>0.1</x:v>
      </x:c>
      <x:c r="D30" s="9" t="inlineStr">
        <x:is>
          <x:t xml:space="preserve">One system-level case has a complete algorithmic core but a residual theoretical dependency.</x:t>
        </x:is>
      </x:c>
    </x:row>
    <x:row r="31" ht="120" customHeight="1">
      <x:c r="A31" s="9" t="inlineStr">
        <x:is>
          <x:t xml:space="preserve">Partial proofs without rejected step</x:t>
        </x:is>
      </x:c>
      <x:c r="B31" s="15">
        <x:f>COUNTIFS('Proof Summary'!$R$5:$R$14,"Partial",'Proof Summary'!$N$5:$N$14,"Yes")</x:f>
        <x:v>3</x:v>
      </x:c>
      <x:c r="C31" s="29">
        <x:f>B31/$B$5</x:f>
        <x:v>0.3</x:v>
      </x:c>
      <x:c r="D31" s="9" t="inlineStr">
        <x:is>
          <x:t xml:space="preserve">Conditional or incomplete proofs whose remaining issue is not route invalidity.</x:t>
        </x:is>
      </x:c>
    </x:row>
    <x:row r="32" ht="120" customHeight="1">
      <x:c r="A32" s="9" t="inlineStr">
        <x:is>
          <x:t xml:space="preserve">Partial proofs with rejected step</x:t>
        </x:is>
      </x:c>
      <x:c r="B32" s="15">
        <x:f>COUNTIFS('Proof Summary'!$R$5:$R$14,"Partial",'Proof Summary'!$N$5:$N$14,"No")</x:f>
        <x:v>3</x:v>
      </x:c>
      <x:c r="C32" s="29">
        <x:f>B32/$B$5</x:f>
        <x:v>0.3</x:v>
      </x:c>
      <x:c r="D32" s="9" t="inlineStr">
        <x:is>
          <x:t xml:space="preserve">Proofs whose partial status includes at least one rejected route.</x:t>
        </x:is>
      </x:c>
    </x:row>
    <x:row r="33" ht="18" customHeight="1"/>
    <x:row r="34">
      <x:c r="A34" s="7" t="inlineStr">
        <x:is>
          <x:t xml:space="preserve">Search-role distribution</x:t>
        </x:is>
      </x:c>
      <x:c r="B34" s="7" t="n"/>
      <x:c r="C34" s="7" t="n"/>
      <x:c r="D34" s="7" t="n"/>
    </x:row>
    <x:row r="35" ht="75" customHeight="1">
      <x:c r="A35" s="9" t="inlineStr">
        <x:is>
          <x:t xml:space="preserve">Resolve</x:t>
        </x:is>
      </x:c>
      <x:c r="B35" s="15">
        <x:f>COUNTIF('Tactic Data'!$K$5:$K$500,"Resolve")</x:f>
        <x:v>56</x:v>
      </x:c>
      <x:c r="C35" s="29">
        <x:f>B35/$B$6</x:f>
        <x:v>0.6588235294117647</x:v>
      </x:c>
      <x:c r="D35" s="9" t="inlineStr">
        <x:is>
          <x:t xml:space="preserve">A locally valid and transportable step.</x:t>
        </x:is>
      </x:c>
    </x:row>
    <x:row r="36" ht="75" customHeight="1">
      <x:c r="A36" s="9" t="inlineStr">
        <x:is>
          <x:t xml:space="preserve">Local-only win</x:t>
        </x:is>
      </x:c>
      <x:c r="B36" s="15">
        <x:f>COUNTIF('Tactic Data'!$K$5:$K$500,"Local-only win")</x:f>
        <x:v>9</x:v>
      </x:c>
      <x:c r="C36" s="29">
        <x:f>B36/$B$6</x:f>
        <x:v>0.10588235294117647</x:v>
      </x:c>
      <x:c r="D36" s="9" t="inlineStr">
        <x:is>
          <x:t xml:space="preserve">A step that closes a local task but does not carry the proof forward robustly.</x:t>
        </x:is>
      </x:c>
    </x:row>
    <x:row r="37" ht="75" customHeight="1">
      <x:c r="A37" s="9" t="inlineStr">
        <x:is>
          <x:t xml:space="preserve">Refine gap</x:t>
        </x:is>
      </x:c>
      <x:c r="B37" s="15">
        <x:f>COUNTIF('Tactic Data'!$K$5:$K$500,"Refine gap")</x:f>
        <x:v>6</x:v>
      </x:c>
      <x:c r="C37" s="29">
        <x:f>B37/$B$6</x:f>
        <x:v>0.07058823529411765</x:v>
      </x:c>
      <x:c r="D37" s="9" t="inlineStr">
        <x:is>
          <x:t xml:space="preserve">A step that sharpens the remaining problem without closing it.</x:t>
        </x:is>
      </x:c>
    </x:row>
    <x:row r="38" ht="75" customHeight="1">
      <x:c r="A38" s="9" t="inlineStr">
        <x:is>
          <x:t xml:space="preserve">Eliminate route</x:t>
        </x:is>
      </x:c>
      <x:c r="B38" s="15">
        <x:f>COUNTIF('Tactic Data'!$K$5:$K$500,"Eliminate route")</x:f>
        <x:v>4</x:v>
      </x:c>
      <x:c r="C38" s="29">
        <x:f>B38/$B$6</x:f>
        <x:v>0.047058823529411764</x:v>
      </x:c>
      <x:c r="D38" s="9" t="inlineStr">
        <x:is>
          <x:t xml:space="preserve">A dead route ruled out by agent or audit while preserving useful boundary information.</x:t>
        </x:is>
      </x:c>
    </x:row>
    <x:row r="39" ht="75" customHeight="1">
      <x:c r="A39" s="9" t="inlineStr">
        <x:is>
          <x:t xml:space="preserve">Invalid inference</x:t>
        </x:is>
      </x:c>
      <x:c r="B39" s="15">
        <x:f>COUNTIF('Tactic Data'!$K$5:$K$500,"Invalid inference")</x:f>
        <x:v>2</x:v>
      </x:c>
      <x:c r="C39" s="29">
        <x:f>B39/$B$6</x:f>
        <x:v>0.023529411764705882</x:v>
      </x:c>
      <x:c r="D39" s="9" t="inlineStr">
        <x:is>
          <x:t xml:space="preserve">A mathematically invalid step that fails at the derivation level.</x:t>
        </x:is>
      </x:c>
    </x:row>
    <x:row r="40" ht="75" customHeight="1">
      <x:c r="A40" s="9" t="inlineStr">
        <x:is>
          <x:t xml:space="preserve">Undeveloped route</x:t>
        </x:is>
      </x:c>
      <x:c r="B40" s="15">
        <x:f>COUNTIF('Tactic Data'!$K$5:$K$500,"Undeveloped route")</x:f>
        <x:v>6</x:v>
      </x:c>
      <x:c r="C40" s="29">
        <x:f>B40/$B$6</x:f>
        <x:v>0.07058823529411765</x:v>
      </x:c>
      <x:c r="D40" s="9" t="inlineStr">
        <x:is>
          <x:t xml:space="preserve">A promising route that was not pushed far enough to judge conclusively.</x:t>
        </x:is>
      </x:c>
    </x:row>
    <x:row r="41" ht="75" customHeight="1">
      <x:c r="A41" s="9" t="inlineStr">
        <x:is>
          <x:t xml:space="preserve">Open bridge</x:t>
        </x:is>
      </x:c>
      <x:c r="B41" s="15">
        <x:f>COUNTIF('Tactic Data'!$K$5:$K$500,"Open bridge")</x:f>
        <x:v>2</x:v>
      </x:c>
      <x:c r="C41" s="29">
        <x:f>B41/$B$6</x:f>
        <x:v>0.023529411764705882</x:v>
      </x:c>
      <x:c r="D41" s="9" t="inlineStr">
        <x:is>
          <x:t xml:space="preserve">An explicit unresolved bridge statement or external dependency.</x:t>
        </x:is>
      </x:c>
    </x:row>
    <x:row r="42" ht="18" customHeight="1"/>
    <x:row r="43">
      <x:c r="A43" s="7" t="inlineStr">
        <x:is>
          <x:t xml:space="preserve">Rejected-route analysis</x:t>
        </x:is>
      </x:c>
      <x:c r="B43" s="7" t="n"/>
      <x:c r="C43" s="7" t="n"/>
      <x:c r="D43" s="7" t="n"/>
    </x:row>
    <x:row r="44" ht="120" customHeight="1">
      <x:c r="A44" s="9" t="inlineStr">
        <x:is>
          <x:t xml:space="preserve">Agent-rejected routes</x:t>
        </x:is>
      </x:c>
      <x:c r="B44" s="15">
        <x:f>COUNTIFS('Tactic Data'!$J$5:$J$500,"Rejected",'Tactic Data'!$L$5:$L$500,"Agent")</x:f>
        <x:v>4</x:v>
      </x:c>
      <x:c r="C44" s="29">
        <x:f>B44/COUNTIF('Tactic Data'!$J$5:$J$500,"Rejected")</x:f>
        <x:v>0.6666666666666666</x:v>
      </x:c>
      <x:c r="D44" s="9" t="inlineStr">
        <x:is>
          <x:t xml:space="preserve">Routes the model itself screened out before the external audit step.</x:t>
        </x:is>
      </x:c>
    </x:row>
    <x:row r="45" ht="120" customHeight="1">
      <x:c r="A45" s="9" t="inlineStr">
        <x:is>
          <x:t xml:space="preserve">Audit-rejected routes</x:t>
        </x:is>
      </x:c>
      <x:c r="B45" s="15">
        <x:f>COUNTIFS('Tactic Data'!$J$5:$J$500,"Rejected",'Tactic Data'!$L$5:$L$500,"Audit")</x:f>
        <x:v>2</x:v>
      </x:c>
      <x:c r="C45" s="29">
        <x:f>B45/COUNTIF('Tactic Data'!$J$5:$J$500,"Rejected")</x:f>
        <x:v>0.3333333333333333</x:v>
      </x:c>
      <x:c r="D45" s="9" t="inlineStr">
        <x:is>
          <x:t xml:space="preserve">Routes that looked viable to the model but fail under external verification.</x:t>
        </x:is>
      </x:c>
    </x:row>
    <x:row r="46" ht="30" customHeight="1">
      <x:c r="A46" s="9" t="inlineStr">
        <x:is>
          <x:t xml:space="preserve">Agent share of rejected routes</x:t>
        </x:is>
      </x:c>
      <x:c r="B46" s="15" t="inlineStr">
        <x:is>
          <x:t xml:space="preserve"/>
        </x:is>
      </x:c>
      <x:c r="C46" s="29">
        <x:f>B44/(B44+B45)</x:f>
        <x:v>0.6666666666666666</x:v>
      </x:c>
      <x:c r="D46" s="9" t="inlineStr">
        <x:is>
          <x:t xml:space="preserve">A simple calibration signal for how often the model catches dead routes on its own.</x:t>
        </x:is>
      </x:c>
    </x:row>
    <x:row r="47" ht="18" customHeight="1"/>
    <x:row r="48">
      <x:c r="A48" s="7" t="inlineStr">
        <x:is>
          <x:t xml:space="preserve">Read of the pilot</x:t>
        </x:is>
      </x:c>
      <x:c r="B48" s="7" t="n"/>
      <x:c r="C48" s="7" t="n"/>
      <x:c r="D48" s="7" t="n"/>
    </x:row>
    <x:row r="49" ht="45" customHeight="1">
      <x:c r="A49" s="9" t="inlineStr">
        <x:is>
          <x:t xml:space="preserve">Main empirical read</x:t>
        </x:is>
      </x:c>
      <x:c r="B49" s="15" t="inlineStr">
        <x:is>
          <x:t xml:space="preserve"/>
        </x:is>
      </x:c>
      <x:c r="C49" s="15" t="inlineStr">
        <x:is>
          <x:t xml:space="preserve"/>
        </x:is>
      </x:c>
      <x:c r="D49" s="9" t="inlineStr">
        <x:is>
          <x:t xml:space="preserve">Local correctness is much easier than robust transfer. The strongest proofs keep both rates high; the weaker ones collapse mainly on transport, not on staying inside the problem or on local derivation.</x:t>
        </x:is>
      </x:c>
    </x:row>
    <x:row r="50" ht="30" customHeight="1">
      <x:c r="A50" s="9" t="inlineStr">
        <x:is>
          <x:t xml:space="preserve">Secondary read</x:t>
        </x:is>
      </x:c>
      <x:c r="D50" s="9" t="inlineStr">
        <x:is>
          <x:t xml:space="preserve">Correct rejection is a first-class output. The pilot does not just accumulate positive lemmas; it maps the boundary of what does not work.</x:t>
        </x:is>
      </x:c>
    </x:row>
    <x:row r="51" ht="45" customHeight="1">
      <x:c r="A51" s="9" t="inlineStr">
        <x:is>
          <x:t xml:space="preserve">Practical implication</x:t>
        </x:is>
      </x:c>
      <x:c r="D51" s="9" t="inlineStr">
        <x:is>
          <x:t xml:space="preserve">Future systems should score and train not only on proof completion, but also on route elimination, premise verification, and transport to the full target.</x:t>
        </x:is>
      </x:c>
    </x:row>
  </x:sheetData>
  <x:mergeCells>
    <x:mergeCell ref="A1:D1"/>
    <x:mergeCell ref="A8:D8"/>
    <x:mergeCell ref="A34:D34"/>
    <x:mergeCell ref="A4:D4"/>
    <x:mergeCell ref="A48:D48"/>
    <x:mergeCell ref="A21:D21"/>
    <x:mergeCell ref="A15:D15"/>
    <x:mergeCell ref="A43:D43"/>
    <x:mergeCell ref="A24:D24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10" customWidth="1"/>
    <x:col min="3" max="3" width="32" customWidth="1"/>
    <x:col min="4" max="4" width="18" customWidth="1"/>
    <x:col min="5" max="5" width="58" customWidth="1"/>
    <x:col min="6" max="6" width="62" customWidth="1"/>
  </x:cols>
  <x:sheetData>
    <x:row r="1">
      <x:c r="A1" s="1" t="inlineStr">
        <x:is>
          <x:t xml:space="preserve">Process Traces</x:t>
        </x:is>
      </x:c>
    </x:row>
    <x:row r="2">
      <x:c r="A2" s="2" t="inlineStr">
        <x:is>
          <x:t xml:space="preserve">Curated high-leverage or diagnostically important steps, rewritten in public vocabulary. The goal is to show what each step added and what boundary information it produced.</x:t>
        </x:is>
      </x:c>
    </x:row>
    <x:row r="3" ht="24" customHeight="1">
      <x:c r="A3" s="3" t="inlineStr">
        <x:is>
          <x:t xml:space="preserve">Problem ID</x:t>
        </x:is>
      </x:c>
      <x:c r="B3" s="3" t="inlineStr">
        <x:is>
          <x:t xml:space="preserve">Step ID</x:t>
        </x:is>
      </x:c>
      <x:c r="C3" s="3" t="inlineStr">
        <x:is>
          <x:t xml:space="preserve">Step Summary</x:t>
        </x:is>
      </x:c>
      <x:c r="D3" s="3" t="inlineStr">
        <x:is>
          <x:t xml:space="preserve">Search Function</x:t>
        </x:is>
      </x:c>
      <x:c r="E3" s="3" t="inlineStr">
        <x:is>
          <x:t xml:space="preserve">Positive Contribution</x:t>
        </x:is>
      </x:c>
      <x:c r="F3" s="3" t="inlineStr">
        <x:is>
          <x:t xml:space="preserve">Boundary Information</x:t>
        </x:is>
      </x:c>
    </x:row>
    <x:row r="4" ht="45" customHeight="1">
      <x:c r="A4" s="15" t="n">
        <x:v>1</x:v>
      </x:c>
      <x:c r="B4" s="15" t="inlineStr">
        <x:is>
          <x:t xml:space="preserve">T4</x:t>
        </x:is>
      </x:c>
      <x:c r="C4" s="9" t="inlineStr">
        <x:is>
          <x:t xml:space="preserve">Variance divergence: log N</x:t>
        </x:is>
      </x:c>
      <x:c r="D4" s="34" t="inlineStr">
        <x:is>
          <x:t xml:space="preserve">Resolve</x:t>
        </x:is>
      </x:c>
      <x:c r="E4" s="9" t="inlineStr">
        <x:is>
          <x:t xml:space="preserve">Shows that the Gaussian variance of the cubic smearing diverges logarithmically. This provides the first genuine obstruction signal.</x:t>
        </x:is>
      </x:c>
      <x:c r="F4" s="9" t="inlineStr">
        <x:is>
          <x:t xml:space="preserve">Rules out bounded-variance scenarios in which the score function could exist.</x:t>
        </x:is>
      </x:c>
    </x:row>
    <x:row r="5" ht="30" customHeight="1">
      <x:c r="A5" s="15" t="n">
        <x:v>1</x:v>
      </x:c>
      <x:c r="B5" s="15" t="inlineStr">
        <x:is>
          <x:t xml:space="preserve">T5</x:t>
        </x:is>
      </x:c>
      <x:c r="C5" s="9" t="inlineStr">
        <x:is>
          <x:t xml:space="preserve">Inverse-density bridge</x:t>
        </x:is>
      </x:c>
      <x:c r="D5" s="35" t="inlineStr">
        <x:is>
          <x:t xml:space="preserve">Refine gap</x:t>
        </x:is>
      </x:c>
      <x:c r="E5" s="9" t="inlineStr">
        <x:is>
          <x:t xml:space="preserve">Makes the Gaussian-to-interacting transfer question precise through a Cauchy-Schwarz bridge.</x:t>
        </x:is>
      </x:c>
      <x:c r="F5" s="9" t="inlineStr">
        <x:is>
          <x:t xml:space="preserve">Exposes the real bottleneck: a negative-moment bound is needed and is not established here.</x:t>
        </x:is>
      </x:c>
    </x:row>
    <x:row r="6" ht="30" customHeight="1">
      <x:c r="A6" s="15" t="n">
        <x:v>2</x:v>
      </x:c>
      <x:c r="B6" s="15" t="inlineStr">
        <x:is>
          <x:t xml:space="preserve">A2</x:t>
        </x:is>
      </x:c>
      <x:c r="C6" s="9" t="inlineStr">
        <x:is>
          <x:t xml:space="preserve">Monomiality criterion</x:t>
        </x:is>
      </x:c>
      <x:c r="D6" s="35" t="inlineStr">
        <x:is>
          <x:t xml:space="preserve">Refine gap</x:t>
        </x:is>
      </x:c>
      <x:c r="E6" s="9" t="inlineStr">
        <x:is>
          <x:t xml:space="preserve">Rewrites an analytic nonvanishing condition as a finite shell-isolation target.</x:t>
        </x:is>
      </x:c>
      <x:c r="F6" s="9" t="inlineStr">
        <x:is>
          <x:t xml:space="preserve">Rules out all multi-shell candidates and sharply narrows what a valid test vector must do.</x:t>
        </x:is>
      </x:c>
    </x:row>
    <x:row r="7" ht="30" customHeight="1">
      <x:c r="A7" s="15" t="n">
        <x:v>2</x:v>
      </x:c>
      <x:c r="B7" s="15" t="inlineStr">
        <x:is>
          <x:t xml:space="preserve">A3</x:t>
        </x:is>
      </x:c>
      <x:c r="C7" s="9" t="inlineStr">
        <x:is>
          <x:t xml:space="preserve">GL2 x GL1 base case</x:t>
        </x:is>
      </x:c>
      <x:c r="D7" s="34" t="inlineStr">
        <x:is>
          <x:t xml:space="preserve">Resolve</x:t>
        </x:is>
      </x:c>
      <x:c r="E7" s="9" t="inlineStr">
        <x:is>
          <x:t xml:space="preserve">Closes the rank-one base case through a concrete Gauss-sum calculation.</x:t>
        </x:is>
      </x:c>
      <x:c r="F7" s="9" t="inlineStr">
        <x:is>
          <x:t xml:space="preserve">Shows that the base-case mechanism is highly specific and does not by itself transfer to higher rank.</x:t>
        </x:is>
      </x:c>
    </x:row>
    <x:row r="8" ht="30" customHeight="1">
      <x:c r="A8" s="15" t="n">
        <x:v>2</x:v>
      </x:c>
      <x:c r="B8" s="15" t="inlineStr">
        <x:is>
          <x:t xml:space="preserve">A4</x:t>
        </x:is>
      </x:c>
      <x:c r="C8" s="9" t="inlineStr">
        <x:is>
          <x:t xml:space="preserve">Diagonal shell isolation</x:t>
        </x:is>
      </x:c>
      <x:c r="D8" s="35" t="inlineStr">
        <x:is>
          <x:t xml:space="preserve">Refine gap</x:t>
        </x:is>
      </x:c>
      <x:c r="E8" s="9" t="inlineStr">
        <x:is>
          <x:t xml:space="preserve">Demonstrates that shell isolation is achievable on a diagonal restriction.</x:t>
        </x:is>
      </x:c>
      <x:c r="F8" s="9" t="inlineStr">
        <x:is>
          <x:t xml:space="preserve">Leaves the central bridge question open: diagonal control is not yet full-integral control.</x:t>
        </x:is>
      </x:c>
    </x:row>
    <x:row r="9" ht="45" customHeight="1">
      <x:c r="A9" s="15" t="n">
        <x:v>2</x:v>
      </x:c>
      <x:c r="B9" s="15" t="inlineStr">
        <x:is>
          <x:t xml:space="preserve">A5</x:t>
        </x:is>
      </x:c>
      <x:c r="C9" s="9" t="inlineStr">
        <x:is>
          <x:t xml:space="preserve">Recurrence delta operator</x:t>
        </x:is>
      </x:c>
      <x:c r="D9" s="36" t="inlineStr">
        <x:is>
          <x:t xml:space="preserve">Eliminate (audit)</x:t>
        </x:is>
      </x:c>
      <x:c r="E9" s="9" t="inlineStr">
        <x:is>
          <x:t xml:space="preserve">Invalid as stated; the characteristic polynomial kills the full sequence, including the base term.</x:t>
        </x:is>
      </x:c>
      <x:c r="F9" s="9" t="inlineStr">
        <x:is>
          <x:t xml:space="preserve">Eliminates recurrence-only shell isolation. Any successful operator must use initial-condition data, not just the recurrence.</x:t>
        </x:is>
      </x:c>
    </x:row>
    <x:row r="10" ht="30" customHeight="1">
      <x:c r="A10" s="15" t="n">
        <x:v>2</x:v>
      </x:c>
      <x:c r="B10" s="15" t="inlineStr">
        <x:is>
          <x:t xml:space="preserve">X1</x:t>
        </x:is>
      </x:c>
      <x:c r="C10" s="9" t="inlineStr">
        <x:is>
          <x:t xml:space="preserve">Functional-equation route</x:t>
        </x:is>
      </x:c>
      <x:c r="D10" s="36" t="inlineStr">
        <x:is>
          <x:t xml:space="preserve">Eliminate (agent)</x:t>
        </x:is>
      </x:c>
      <x:c r="E10" s="9" t="inlineStr">
        <x:is>
          <x:t xml:space="preserve">The route does not produce a valid identification with the needed Fourier data.</x:t>
        </x:is>
      </x:c>
      <x:c r="F10" s="9" t="inlineStr">
        <x:is>
          <x:t xml:space="preserve">Rules out a tempting but structurally unsupported shortcut.</x:t>
        </x:is>
      </x:c>
    </x:row>
    <x:row r="11" ht="30" customHeight="1">
      <x:c r="A11" s="15" t="n">
        <x:v>3</x:v>
      </x:c>
      <x:c r="B11" s="15" t="inlineStr">
        <x:is>
          <x:t xml:space="preserve">M1</x:t>
        </x:is>
      </x:c>
      <x:c r="C11" s="9" t="inlineStr">
        <x:is>
          <x:t xml:space="preserve">Metropolis-Hastings</x:t>
        </x:is>
      </x:c>
      <x:c r="D11" s="37" t="inlineStr">
        <x:is>
          <x:t xml:space="preserve">Local-only win</x:t>
        </x:is>
      </x:c>
      <x:c r="E11" s="9" t="inlineStr">
        <x:is>
          <x:t xml:space="preserve">Constructs a stationary Markov chain for the target distribution.</x:t>
        </x:is>
      </x:c>
      <x:c r="F11" s="9" t="inlineStr">
        <x:is>
          <x:t xml:space="preserve">Does not touch the actual nontriviality constraint; it solves the easy local task but not the benchmark target.</x:t>
        </x:is>
      </x:c>
    </x:row>
    <x:row r="12" ht="30" customHeight="1">
      <x:c r="A12" s="15" t="n">
        <x:v>3</x:v>
      </x:c>
      <x:c r="B12" s="15" t="inlineStr">
        <x:is>
          <x:t xml:space="preserve">M1-NT</x:t>
        </x:is>
      </x:c>
      <x:c r="C12" s="9" t="inlineStr">
        <x:is>
          <x:t xml:space="preserve">Nontriviality audit</x:t>
        </x:is>
      </x:c>
      <x:c r="D12" s="36" t="inlineStr">
        <x:is>
          <x:t xml:space="preserve">Eliminate</x:t>
        </x:is>
      </x:c>
      <x:c r="E12" s="9" t="inlineStr">
        <x:is>
          <x:t xml:space="preserve">Shows that the Metropolis-Hastings acceptance ratio uses the forbidden F^nu/F^mu dependence.</x:t>
        </x:is>
      </x:c>
      <x:c r="F12" s="9" t="inlineStr">
        <x:is>
          <x:t xml:space="preserve">Rules out the entire family of ratio-based acceptance rules as genuine solutions to this problem.</x:t>
        </x:is>
      </x:c>
    </x:row>
    <x:row r="13" ht="30" customHeight="1">
      <x:c r="A13" s="15" t="n">
        <x:v>3</x:v>
      </x:c>
      <x:c r="B13" s="15" t="inlineStr">
        <x:is>
          <x:t xml:space="preserve">K1</x:t>
        </x:is>
      </x:c>
      <x:c r="C13" s="9" t="inlineStr">
        <x:is>
          <x:t xml:space="preserve">Polynomial-free kernel</x:t>
        </x:is>
      </x:c>
      <x:c r="D13" s="35" t="inlineStr">
        <x:is>
          <x:t xml:space="preserve">Refine gap</x:t>
        </x:is>
      </x:c>
      <x:c r="E13" s="9" t="inlineStr">
        <x:is>
          <x:t xml:space="preserve">Poses a concrete candidate kernel and proves row-stochasticity under explicit assumptions.</x:t>
        </x:is>
      </x:c>
      <x:c r="F13" s="9" t="inlineStr">
        <x:is>
          <x:t xml:space="preserve">Leaves one crisp gap: invariance of the target measure is still unproved.</x:t>
        </x:is>
      </x:c>
    </x:row>
    <x:row r="14" ht="30" customHeight="1">
      <x:c r="A14" s="15" t="n">
        <x:v>4</x:v>
      </x:c>
      <x:c r="B14" s="15" t="inlineStr">
        <x:is>
          <x:t xml:space="preserve">A4+A5</x:t>
        </x:is>
      </x:c>
      <x:c r="C14" s="9" t="inlineStr">
        <x:is>
          <x:t xml:space="preserve">n=3 invariant reduction</x:t>
        </x:is>
      </x:c>
      <x:c r="D14" s="34" t="inlineStr">
        <x:is>
          <x:t xml:space="preserve">Resolve</x:t>
        </x:is>
      </x:c>
      <x:c r="E14" s="9" t="inlineStr">
        <x:is>
          <x:t xml:space="preserve">Finds additive invariants and closes the n=3 inequality through a convexity argument.</x:t>
        </x:is>
      </x:c>
      <x:c r="F14" s="9" t="inlineStr">
        <x:is>
          <x:t xml:space="preserve">Clarifies that the useful structure is genuinely low-dimensional and should not be naively lifted to all n.</x:t>
        </x:is>
      </x:c>
    </x:row>
    <x:row r="15" ht="30" customHeight="1">
      <x:c r="A15" s="15" t="n">
        <x:v>4</x:v>
      </x:c>
      <x:c r="B15" s="15" t="inlineStr">
        <x:is>
          <x:t xml:space="preserve">R1</x:t>
        </x:is>
      </x:c>
      <x:c r="C15" s="9" t="inlineStr">
        <x:is>
          <x:t xml:space="preserve">Fractional free-convolution powers</x:t>
        </x:is>
      </x:c>
      <x:c r="D15" s="36" t="inlineStr">
        <x:is>
          <x:t xml:space="preserve">Eliminate (agent)</x:t>
        </x:is>
      </x:c>
      <x:c r="E15" s="9" t="inlineStr">
        <x:is>
          <x:t xml:space="preserve">An explicit counterexample shows that the semigroup or heat-flow route breaks real-rootedness.</x:t>
        </x:is>
      </x:c>
      <x:c r="F15" s="9" t="inlineStr">
        <x:is>
          <x:t xml:space="preserve">Removes an entire proof paradigm from consideration for the general case.</x:t>
        </x:is>
      </x:c>
    </x:row>
    <x:row r="16" ht="30" customHeight="1">
      <x:c r="A16" s="15" t="n">
        <x:v>4</x:v>
      </x:c>
      <x:c r="B16" s="15" t="inlineStr">
        <x:is>
          <x:t xml:space="preserve">n=2</x:t>
        </x:is>
      </x:c>
      <x:c r="C16" s="9" t="inlineStr">
        <x:is>
          <x:t xml:space="preserve">Degree-2 equality</x:t>
        </x:is>
      </x:c>
      <x:c r="D16" s="37" t="inlineStr">
        <x:is>
          <x:t xml:space="preserve">Local-only win</x:t>
        </x:is>
      </x:c>
      <x:c r="E16" s="9" t="inlineStr">
        <x:is>
          <x:t xml:space="preserve">Verifies the quadratic equality case exactly.</x:t>
        </x:is>
      </x:c>
      <x:c r="F16" s="9" t="inlineStr">
        <x:is>
          <x:t xml:space="preserve">Adds no transferable mechanism beyond the degenerate one-parameter setting.</x:t>
        </x:is>
      </x:c>
    </x:row>
    <x:row r="17" ht="30" customHeight="1">
      <x:c r="A17" s="15" t="n">
        <x:v>5</x:v>
      </x:c>
      <x:c r="B17" s="15" t="inlineStr">
        <x:is>
          <x:t xml:space="preserve">T4</x:t>
        </x:is>
      </x:c>
      <x:c r="C17" s="9" t="inlineStr">
        <x:is>
          <x:t xml:space="preserve">Detection lemma bridge</x:t>
        </x:is>
      </x:c>
      <x:c r="D17" s="38" t="inlineStr">
        <x:is>
          <x:t xml:space="preserve">Bridge</x:t>
        </x:is>
      </x:c>
      <x:c r="E17" s="9" t="inlineStr">
        <x:is>
          <x:t xml:space="preserve">Connects equivariant cell data to nonequivariant information in geometric fixed points.</x:t>
        </x:is>
      </x:c>
      <x:c r="F17" s="9" t="inlineStr">
        <x:is>
          <x:t xml:space="preserve">Shows that any successful characterization must pass through this bridge rather than bypassing fixed-point data.</x:t>
        </x:is>
      </x:c>
    </x:row>
    <x:row r="18" ht="30" customHeight="1">
      <x:c r="A18" s="15" t="n">
        <x:v>5</x:v>
      </x:c>
      <x:c r="B18" s="15" t="inlineStr">
        <x:is>
          <x:t xml:space="preserve">T5</x:t>
        </x:is>
      </x:c>
      <x:c r="C18" s="9" t="inlineStr">
        <x:is>
          <x:t xml:space="preserve">Forward direction</x:t>
        </x:is>
      </x:c>
      <x:c r="D18" s="36" t="inlineStr">
        <x:is>
          <x:t xml:space="preserve">Eliminate (audit)</x:t>
        </x:is>
      </x:c>
      <x:c r="E18" s="9" t="inlineStr">
        <x:is>
          <x:t xml:space="preserve">Invalid as written because it uses a monotonicity step that fails for incomplete transfer systems.</x:t>
        </x:is>
      </x:c>
      <x:c r="F18" s="9" t="inlineStr">
        <x:is>
          <x:t xml:space="preserve">Rules out the naive forward argument and isolates the missing monotone substitute.</x:t>
        </x:is>
      </x:c>
    </x:row>
    <x:row r="19" ht="30" customHeight="1">
      <x:c r="A19" s="15" t="n">
        <x:v>5</x:v>
      </x:c>
      <x:c r="B19" s="15" t="inlineStr">
        <x:is>
          <x:t xml:space="preserve">T6</x:t>
        </x:is>
      </x:c>
      <x:c r="C19" s="9" t="inlineStr">
        <x:is>
          <x:t xml:space="preserve">Backward direction</x:t>
        </x:is>
      </x:c>
      <x:c r="D19" s="34" t="inlineStr">
        <x:is>
          <x:t xml:space="preserve">Resolve</x:t>
        </x:is>
      </x:c>
      <x:c r="E19" s="9" t="inlineStr">
        <x:is>
          <x:t xml:space="preserve">Closes the reverse implication cleanly through localization plus fixed-point detection.</x:t>
        </x:is>
      </x:c>
      <x:c r="F19" s="9" t="inlineStr">
        <x:is>
          <x:t xml:space="preserve">Rules out counterexamples to the backward direction at the intended scope.</x:t>
        </x:is>
      </x:c>
    </x:row>
    <x:row r="20" ht="30" customHeight="1">
      <x:c r="A20" s="15" t="n">
        <x:v>6</x:v>
      </x:c>
      <x:c r="B20" s="15" t="inlineStr">
        <x:is>
          <x:t xml:space="preserve">T1</x:t>
        </x:is>
      </x:c>
      <x:c r="C20" s="9" t="inlineStr">
        <x:is>
          <x:t xml:space="preserve">Schur-complement characterization</x:t>
        </x:is>
      </x:c>
      <x:c r="D20" s="34" t="inlineStr">
        <x:is>
          <x:t xml:space="preserve">Resolve</x:t>
        </x:is>
      </x:c>
      <x:c r="E20" s="9" t="inlineStr">
        <x:is>
          <x:t xml:space="preserve">Gives the canonical variational characterization of the target notion.</x:t>
        </x:is>
      </x:c>
      <x:c r="F20" s="9" t="inlineStr">
        <x:is>
          <x:t xml:space="preserve">Eliminates alternative formulations that ignore the Schur complement.</x:t>
        </x:is>
      </x:c>
    </x:row>
    <x:row r="21" ht="30" customHeight="1">
      <x:c r="A21" s="15" t="n">
        <x:v>6</x:v>
      </x:c>
      <x:c r="B21" s="15" t="inlineStr">
        <x:is>
          <x:t xml:space="preserve">T3</x:t>
        </x:is>
      </x:c>
      <x:c r="C21" s="9" t="inlineStr">
        <x:is>
          <x:t xml:space="preserve">Raw cut-test counterexample</x:t>
        </x:is>
      </x:c>
      <x:c r="D21" s="36" t="inlineStr">
        <x:is>
          <x:t xml:space="preserve">Eliminate</x:t>
        </x:is>
      </x:c>
      <x:c r="E21" s="9" t="inlineStr">
        <x:is>
          <x:t xml:space="preserve">One graph counterexample shows that raw edge-count conditions are insufficient.</x:t>
        </x:is>
      </x:c>
      <x:c r="F21" s="9" t="inlineStr">
        <x:is>
          <x:t xml:space="preserve">Permanently removes the raw cut-test family and justifies the need for effective conductance.</x:t>
        </x:is>
      </x:c>
    </x:row>
    <x:row r="22" ht="30" customHeight="1">
      <x:c r="A22" s="15" t="n">
        <x:v>6</x:v>
      </x:c>
      <x:c r="B22" s="15" t="inlineStr">
        <x:is>
          <x:t xml:space="preserve">T4</x:t>
        </x:is>
      </x:c>
      <x:c r="C22" s="9" t="inlineStr">
        <x:is>
          <x:t xml:space="preserve">Two-layer bridging bound</x:t>
        </x:is>
      </x:c>
      <x:c r="D22" s="35" t="inlineStr">
        <x:is>
          <x:t xml:space="preserve">Refine gap</x:t>
        </x:is>
      </x:c>
      <x:c r="E22" s="9" t="inlineStr">
        <x:is>
          <x:t xml:space="preserve">Provides an explicit lower bound on the effective cut functional using local data.</x:t>
        </x:is>
      </x:c>
      <x:c r="F22" s="9" t="inlineStr">
        <x:is>
          <x:t xml:space="preserve">Shows that the Schur-complement route is computationally tractable rather than purely existential.</x:t>
        </x:is>
      </x:c>
    </x:row>
    <x:row r="23" ht="30" customHeight="1">
      <x:c r="A23" s="15" t="n">
        <x:v>7</x:v>
      </x:c>
      <x:c r="B23" s="15" t="inlineStr">
        <x:is>
          <x:t xml:space="preserve">T3+T7</x:t>
        </x:is>
      </x:c>
      <x:c r="C23" s="9" t="inlineStr">
        <x:is>
          <x:t xml:space="preserve">Euler-characteristic obstruction</x:t>
        </x:is>
      </x:c>
      <x:c r="D23" s="34" t="inlineStr">
        <x:is>
          <x:t xml:space="preserve">Resolve</x:t>
        </x:is>
      </x:c>
      <x:c r="E23" s="9" t="inlineStr">
        <x:is>
          <x:t xml:space="preserve">Combines integrality from Q-acyclicity with index scaling to force a contradiction under an involution.</x:t>
        </x:is>
      </x:c>
      <x:c r="F23" s="9" t="inlineStr">
        <x:is>
          <x:t xml:space="preserve">Rules out a full structural class of candidate realizations, not just one example.</x:t>
        </x:is>
      </x:c>
    </x:row>
    <x:row r="24" ht="60" customHeight="1">
      <x:c r="A24" s="15" t="n">
        <x:v>7</x:v>
      </x:c>
      <x:c r="B24" s="15" t="inlineStr">
        <x:is>
          <x:t xml:space="preserve">T8</x:t>
        </x:is>
      </x:c>
      <x:c r="C24" s="9" t="inlineStr">
        <x:is>
          <x:t xml:space="preserve">Ball-quotient existence input</x:t>
        </x:is>
      </x:c>
      <x:c r="D24" s="35" t="inlineStr">
        <x:is>
          <x:t xml:space="preserve">Refine gap</x:t>
        </x:is>
      </x:c>
      <x:c r="E24" s="9" t="inlineStr">
        <x:is>
          <x:t xml:space="preserve">Turns an assumed input into a concrete literature dependency: a surface with the required Euler characteristic and even automorphism group must be located or proved to exist.</x:t>
        </x:is>
      </x:c>
      <x:c r="F24" s="9" t="inlineStr">
        <x:is>
          <x:t xml:space="preserve">Shows that the remaining gap is not in the obstruction logic above it, but in an external existence premise.</x:t>
        </x:is>
      </x:c>
    </x:row>
    <x:row r="25" ht="30" customHeight="1">
      <x:c r="A25" s="15" t="n">
        <x:v>8</x:v>
      </x:c>
      <x:c r="B25" s="15" t="inlineStr">
        <x:is>
          <x:t xml:space="preserve">T6</x:t>
        </x:is>
      </x:c>
      <x:c r="C25" s="9" t="inlineStr">
        <x:is>
          <x:t xml:space="preserve">Maslov index computation</x:t>
        </x:is>
      </x:c>
      <x:c r="D25" s="34" t="inlineStr">
        <x:is>
          <x:t xml:space="preserve">Resolve</x:t>
        </x:is>
      </x:c>
      <x:c r="E25" s="9" t="inlineStr">
        <x:is>
          <x:t xml:space="preserve">Computes a nonzero local Maslov index at the model vertex.</x:t>
        </x:is>
      </x:c>
      <x:c r="F25" s="9" t="inlineStr">
        <x:is>
          <x:t xml:space="preserve">Rules out local smoothability for this vertex type and provides a durable obstruction.</x:t>
        </x:is>
      </x:c>
    </x:row>
    <x:row r="26" ht="30" customHeight="1">
      <x:c r="A26" s="15" t="n">
        <x:v>8</x:v>
      </x:c>
      <x:c r="B26" s="15" t="inlineStr">
        <x:is>
          <x:t xml:space="preserve">T4+T8</x:t>
        </x:is>
      </x:c>
      <x:c r="C26" s="9" t="inlineStr">
        <x:is>
          <x:t xml:space="preserve">Disk versus Maslov contradiction</x:t>
        </x:is>
      </x:c>
      <x:c r="D26" s="34" t="inlineStr">
        <x:is>
          <x:t xml:space="preserve">Resolve</x:t>
        </x:is>
      </x:c>
      <x:c r="E26" s="9" t="inlineStr">
        <x:is>
          <x:t xml:space="preserve">Combines the smooth-disk index calculation with the nonzero PL index to force contradiction.</x:t>
        </x:is>
      </x:c>
      <x:c r="F26" s="9" t="inlineStr">
        <x:is>
          <x:t xml:space="preserve">Shows that the obstruction is local and does not require global Hamiltonian machinery.</x:t>
        </x:is>
      </x:c>
    </x:row>
    <x:row r="27" ht="30" customHeight="1">
      <x:c r="A27" s="15" t="n">
        <x:v>9</x:v>
      </x:c>
      <x:c r="B27" s="15" t="inlineStr">
        <x:is>
          <x:t xml:space="preserve">T6</x:t>
        </x:is>
      </x:c>
      <x:c r="C27" s="9" t="inlineStr">
        <x:is>
          <x:t xml:space="preserve">Core rigidity</x:t>
        </x:is>
      </x:c>
      <x:c r="D27" s="34" t="inlineStr">
        <x:is>
          <x:t xml:space="preserve">Resolve</x:t>
        </x:is>
      </x:c>
      <x:c r="E27" s="9" t="inlineStr">
        <x:is>
          <x:t xml:space="preserve">Proves that the core tensor is forced into the determinant orbit once all slice constraints are imposed.</x:t>
        </x:is>
      </x:c>
      <x:c r="F27" s="9" t="inlineStr">
        <x:is>
          <x:t xml:space="preserve">Rules out non-determinantal cores and explains why the remaining endgame becomes rigid.</x:t>
        </x:is>
      </x:c>
    </x:row>
    <x:row r="28" ht="45" customHeight="1">
      <x:c r="A28" s="15" t="n">
        <x:v>9</x:v>
      </x:c>
      <x:c r="B28" s="15" t="inlineStr">
        <x:is>
          <x:t xml:space="preserve">T9</x:t>
        </x:is>
      </x:c>
      <x:c r="C28" s="9" t="inlineStr">
        <x:is>
          <x:t xml:space="preserve">Projective-geometry bridge</x:t>
        </x:is>
      </x:c>
      <x:c r="D28" s="38" t="inlineStr">
        <x:is>
          <x:t xml:space="preserve">Bridge</x:t>
        </x:is>
      </x:c>
      <x:c r="E28" s="9" t="inlineStr">
        <x:is>
          <x:t xml:space="preserve">Links the tensor condition to line-preserving incidence geometry and then invokes projective rigidity.</x:t>
        </x:is>
      </x:c>
      <x:c r="F28" s="9" t="inlineStr">
        <x:is>
          <x:t xml:space="preserve">Shows that the geometric bridge is not optional: any proof of core rigidity in this dimension must pass through the incidence structure.</x:t>
        </x:is>
      </x:c>
    </x:row>
    <x:row r="29" ht="30" customHeight="1">
      <x:c r="A29" s="15" t="n">
        <x:v>9</x:v>
      </x:c>
      <x:c r="B29" s="15" t="inlineStr">
        <x:is>
          <x:t xml:space="preserve">T10</x:t>
        </x:is>
      </x:c>
      <x:c r="C29" s="9" t="inlineStr">
        <x:is>
          <x:t xml:space="preserve">Block-scaling endgame</x:t>
        </x:is>
      </x:c>
      <x:c r="D29" s="34" t="inlineStr">
        <x:is>
          <x:t xml:space="preserve">Resolve</x:t>
        </x:is>
      </x:c>
      <x:c r="E29" s="9" t="inlineStr">
        <x:is>
          <x:t xml:space="preserve">Finishes the proof by showing that each block action collapses to a scalar.</x:t>
        </x:is>
      </x:c>
      <x:c r="F29" s="9" t="inlineStr">
        <x:is>
          <x:t xml:space="preserve">Rules out residual block-level freedom and forces rank-one scaling.</x:t>
        </x:is>
      </x:c>
    </x:row>
    <x:row r="30" ht="30" customHeight="1">
      <x:c r="A30" s="15" t="n">
        <x:v>10</x:v>
      </x:c>
      <x:c r="B30" s="15" t="inlineStr">
        <x:is>
          <x:t xml:space="preserve">T2</x:t>
        </x:is>
      </x:c>
      <x:c r="C30" s="9" t="inlineStr">
        <x:is>
          <x:t xml:space="preserve">Scatter-add matrix-free matvec</x:t>
        </x:is>
      </x:c>
      <x:c r="D30" s="34" t="inlineStr">
        <x:is>
          <x:t xml:space="preserve">Resolve</x:t>
        </x:is>
      </x:c>
      <x:c r="E30" s="9" t="inlineStr">
        <x:is>
          <x:t xml:space="preserve">Gives an exact matrix-free matrix-vector product over the observation set with no O(N) operation.</x:t>
        </x:is>
      </x:c>
      <x:c r="F30" s="9" t="inlineStr">
        <x:is>
          <x:t xml:space="preserve">Rules out the need for explicit materialization of the full operator.</x:t>
        </x:is>
      </x:c>
    </x:row>
    <x:row r="31" ht="30" customHeight="1">
      <x:c r="A31" s="15" t="n">
        <x:v>10</x:v>
      </x:c>
      <x:c r="B31" s="15" t="inlineStr">
        <x:is>
          <x:t xml:space="preserve">T5</x:t>
        </x:is>
      </x:c>
      <x:c r="C31" s="9" t="inlineStr">
        <x:is>
          <x:t xml:space="preserve">Kronecker preconditioner</x:t>
        </x:is>
      </x:c>
      <x:c r="D31" s="35" t="inlineStr">
        <x:is>
          <x:t xml:space="preserve">Refine gap</x:t>
        </x:is>
      </x:c>
      <x:c r="E31" s="9" t="inlineStr">
        <x:is>
          <x:t xml:space="preserve">Introduces a separable surrogate whose inverse decomposes into tractable subproblems.</x:t>
        </x:is>
      </x:c>
      <x:c r="F31" s="9" t="inlineStr">
        <x:is>
          <x:t xml:space="preserve">Leaves open whether a sharper preconditioner exists for strongly nonuniform sampling.</x:t>
        </x:is>
      </x:c>
    </x:row>
    <x:row r="32" ht="30" customHeight="1">
      <x:c r="A32" s="15" t="n">
        <x:v>10</x:v>
      </x:c>
      <x:c r="B32" s="15" t="inlineStr">
        <x:is>
          <x:t xml:space="preserve">T11</x:t>
        </x:is>
      </x:c>
      <x:c r="C32" s="9" t="inlineStr">
        <x:is>
          <x:t xml:space="preserve">Without-replacement concentration</x:t>
        </x:is>
      </x:c>
      <x:c r="D32" s="35" t="inlineStr">
        <x:is>
          <x:t xml:space="preserve">Refine gap</x:t>
        </x:is>
      </x:c>
      <x:c r="E32" s="9" t="inlineStr">
        <x:is>
          <x:t xml:space="preserve">Makes the remaining theoretical dependency explicit: concentration for without-replacement matrix sampling.</x:t>
        </x:is>
      </x:c>
      <x:c r="F32" s="9" t="inlineStr">
        <x:is>
          <x:t xml:space="preserve">Shows that the last gap is external theory rather than an algorithmic defect in the method itself.</x:t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28" customWidth="1"/>
    <x:col min="3" max="3" width="18" customWidth="1"/>
    <x:col min="4" max="4" width="62" customWidth="1"/>
    <x:col min="5" max="5" width="60" customWidth="1"/>
  </x:cols>
  <x:sheetData>
    <x:row r="1">
      <x:c r="A1" s="1" t="inlineStr">
        <x:is>
          <x:t xml:space="preserve">Cross-Problem Patterns</x:t>
        </x:is>
      </x:c>
    </x:row>
    <x:row r="2">
      <x:c r="A2" s="2" t="inlineStr">
        <x:is>
          <x:t xml:space="preserve">Theory extracted from the pilot in public, falsifiable language. These are qualitative pilot hypotheses grounded in the audited trace.</x:t>
        </x:is>
      </x:c>
    </x:row>
    <x:row r="3" ht="24" customHeight="1">
      <x:c r="A3" s="3" t="inlineStr">
        <x:is>
          <x:t xml:space="preserve">Category</x:t>
        </x:is>
      </x:c>
      <x:c r="B3" s="3" t="inlineStr">
        <x:is>
          <x:t xml:space="preserve">Pattern</x:t>
        </x:is>
      </x:c>
      <x:c r="C3" s="3" t="inlineStr">
        <x:is>
          <x:t xml:space="preserve">Evidence</x:t>
        </x:is>
      </x:c>
      <x:c r="D3" s="3" t="inlineStr">
        <x:is>
          <x:t xml:space="preserve">Observation</x:t>
        </x:is>
      </x:c>
      <x:c r="E3" s="3" t="inlineStr">
        <x:is>
          <x:t xml:space="preserve">Testable implication</x:t>
        </x:is>
      </x:c>
    </x:row>
    <x:row r="4" ht="45" customHeight="1">
      <x:c r="A4" s="28" t="inlineStr">
        <x:is>
          <x:t xml:space="preserve">Positive signal</x:t>
        </x:is>
      </x:c>
      <x:c r="B4" s="9" t="inlineStr">
        <x:is>
          <x:t xml:space="preserve">Local topological obstruction</x:t>
        </x:is>
      </x:c>
      <x:c r="C4" s="15" t="inlineStr">
        <x:is>
          <x:t xml:space="preserve">P7, P8</x:t>
        </x:is>
      </x:c>
      <x:c r="D4" s="9" t="inlineStr">
        <x:is>
          <x:t xml:space="preserve">When the proof can compute a rigid local invariant and oppose it to a global requirement, the argument closes or nearly closes.</x:t>
        </x:is>
      </x:c>
      <x:c r="E4" s="9" t="inlineStr">
        <x:is>
          <x:t xml:space="preserve">Larger corpora should show higher completion rates when a rigid local invariant is available.</x:t>
        </x:is>
      </x:c>
    </x:row>
    <x:row r="5" ht="30" customHeight="1">
      <x:c r="A5" s="28" t="inlineStr">
        <x:is>
          <x:t xml:space="preserve">Positive signal</x:t>
        </x:is>
      </x:c>
      <x:c r="B5" s="9" t="inlineStr">
        <x:is>
          <x:t xml:space="preserve">Rigidity chains</x:t>
        </x:is>
      </x:c>
      <x:c r="C5" s="15" t="inlineStr">
        <x:is>
          <x:t xml:space="preserve">P9</x:t>
        </x:is>
      </x:c>
      <x:c r="D5" s="9" t="inlineStr">
        <x:is>
          <x:t xml:space="preserve">Long chains of overdetermined rigidity lemmas produce the most robust completions in the pilot.</x:t>
        </x:is>
      </x:c>
      <x:c r="E5" s="9" t="inlineStr">
        <x:is>
          <x:t xml:space="preserve">Proofs dominated by rigidity lemmas should have the highest generalization-robustness rates.</x:t>
        </x:is>
      </x:c>
    </x:row>
    <x:row r="6" ht="30" customHeight="1">
      <x:c r="A6" s="28" t="inlineStr">
        <x:is>
          <x:t xml:space="preserve">Positive signal</x:t>
        </x:is>
      </x:c>
      <x:c r="B6" s="9" t="inlineStr">
        <x:is>
          <x:t xml:space="preserve">Correct rejection as discovery</x:t>
        </x:is>
      </x:c>
      <x:c r="C6" s="15" t="inlineStr">
        <x:is>
          <x:t xml:space="preserve">P2, P4</x:t>
        </x:is>
      </x:c>
      <x:c r="D6" s="9" t="inlineStr">
        <x:is>
          <x:t xml:space="preserve">Explicit route elimination is not wasted effort: it permanently shrinks search and improves downstream focus.</x:t>
        </x:is>
      </x:c>
      <x:c r="E6" s="9" t="inlineStr">
        <x:is>
          <x:t xml:space="preserve">Route-elimination counts should correlate positively with eventual completion or with cleaner remaining gaps.</x:t>
        </x:is>
      </x:c>
    </x:row>
    <x:row r="7" ht="45" customHeight="1">
      <x:c r="A7" s="28" t="inlineStr">
        <x:is>
          <x:t xml:space="preserve">Positive signal</x:t>
        </x:is>
      </x:c>
      <x:c r="B7" s="9" t="inlineStr">
        <x:is>
          <x:t xml:space="preserve">Domain reduction</x:t>
        </x:is>
      </x:c>
      <x:c r="C7" s="15" t="inlineStr">
        <x:is>
          <x:t xml:space="preserve">P2-A2</x:t>
        </x:is>
      </x:c>
      <x:c r="D7" s="9" t="inlineStr">
        <x:is>
          <x:t xml:space="preserve">Turning analytic conditions into discrete or finite targets opens productive search moves.</x:t>
        </x:is>
      </x:c>
      <x:c r="E7" s="9" t="inlineStr">
        <x:is>
          <x:t xml:space="preserve">Steps that reduce infinite or continuous conditions to finite combinatorial ones should predict accepted downstream steps.</x:t>
        </x:is>
      </x:c>
    </x:row>
    <x:row r="8" ht="30" customHeight="1">
      <x:c r="A8" s="30" t="inlineStr">
        <x:is>
          <x:t xml:space="preserve">Failure mode</x:t>
        </x:is>
      </x:c>
      <x:c r="B8" s="9" t="inlineStr">
        <x:is>
          <x:t xml:space="preserve">Base case then stall</x:t>
        </x:is>
      </x:c>
      <x:c r="C8" s="15" t="inlineStr">
        <x:is>
          <x:t xml:space="preserve">P2, P3, P4</x:t>
        </x:is>
      </x:c>
      <x:c r="D8" s="9" t="inlineStr">
        <x:is>
          <x:t xml:space="preserve">The model can often close a small case, but the mechanism fails to transport to the full problem.</x:t>
        </x:is>
      </x:c>
      <x:c r="E8" s="9" t="inlineStr">
        <x:is>
          <x:t xml:space="preserve">Early local wins with low generalization robustness should predict non-completion.</x:t>
        </x:is>
      </x:c>
    </x:row>
    <x:row r="9" ht="45" customHeight="1">
      <x:c r="A9" s="30" t="inlineStr">
        <x:is>
          <x:t xml:space="preserve">Failure mode</x:t>
        </x:is>
      </x:c>
      <x:c r="B9" s="9" t="inlineStr">
        <x:is>
          <x:t xml:space="preserve">Local-only resolution</x:t>
        </x:is>
      </x:c>
      <x:c r="C9" s="15" t="inlineStr">
        <x:is>
          <x:t xml:space="preserve">P3-M1, P4-n=2</x:t>
        </x:is>
      </x:c>
      <x:c r="D9" s="9" t="inlineStr">
        <x:is>
          <x:t xml:space="preserve">Some accepted steps solve a local obligation yet contribute no mechanism that survives to the real target.</x:t>
        </x:is>
      </x:c>
      <x:c r="E9" s="9" t="inlineStr">
        <x:is>
          <x:t xml:space="preserve">Accepted steps with goal completion = 1 and generalization robustness = 0 should cluster in structurally hard problems.</x:t>
        </x:is>
      </x:c>
    </x:row>
    <x:row r="10" ht="30" customHeight="1">
      <x:c r="A10" s="30" t="inlineStr">
        <x:is>
          <x:t xml:space="preserve">Failure mode</x:t>
        </x:is>
      </x:c>
      <x:c r="B10" s="9" t="inlineStr">
        <x:is>
          <x:t xml:space="preserve">Generalization-step errors</x:t>
        </x:is>
      </x:c>
      <x:c r="C10" s="15" t="inlineStr">
        <x:is>
          <x:t xml:space="preserve">P2-A5, P5-T5</x:t>
        </x:is>
      </x:c>
      <x:c r="D10" s="9" t="inlineStr">
        <x:is>
          <x:t xml:space="preserve">The two outright invalid inferences occur while extending a locally plausible statement beyond its admissible scope.</x:t>
        </x:is>
      </x:c>
      <x:c r="E10" s="9" t="inlineStr">
        <x:is>
          <x:t xml:space="preserve">In larger corpora, invalid steps should cluster at generalization moves rather than at base cases.</x:t>
        </x:is>
      </x:c>
    </x:row>
    <x:row r="11" ht="30" customHeight="1">
      <x:c r="A11" s="30" t="inlineStr">
        <x:is>
          <x:t xml:space="preserve">Failure mode</x:t>
        </x:is>
      </x:c>
      <x:c r="B11" s="9" t="inlineStr">
        <x:is>
          <x:t xml:space="preserve">Unresolved premises as hidden dependencies</x:t>
        </x:is>
      </x:c>
      <x:c r="C11" s="15" t="inlineStr">
        <x:is>
          <x:t xml:space="preserve">P1-T5, P7-T8, P10-T11</x:t>
        </x:is>
      </x:c>
      <x:c r="D11" s="9" t="inlineStr">
        <x:is>
          <x:t xml:space="preserve">A derivation can be valid conditional on a premise that was never established or cited.</x:t>
        </x:is>
      </x:c>
      <x:c r="E11" s="9" t="inlineStr">
        <x:is>
          <x:t xml:space="preserve">Premises described as standard without evidence should show elevated partial-step rates.</x:t>
        </x:is>
      </x:c>
    </x:row>
    <x:row r="12" ht="45" customHeight="1">
      <x:c r="A12" s="32" t="inlineStr">
        <x:is>
          <x:t xml:space="preserve">Structural signal</x:t>
        </x:is>
      </x:c>
      <x:c r="B12" s="9" t="inlineStr">
        <x:is>
          <x:t xml:space="preserve">Generalization robustness separates complete from partial proofs</x:t>
        </x:is>
      </x:c>
      <x:c r="C12" s="15" t="inlineStr">
        <x:is>
          <x:t xml:space="preserve">All problems</x:t>
        </x:is>
      </x:c>
      <x:c r="D12" s="9" t="inlineStr">
        <x:is>
          <x:t xml:space="preserve">Assumption compliance and inference validity are near ceiling across the pilot. Most of the meaningful variation sits in generalization robustness.</x:t>
        </x:is>
      </x:c>
      <x:c r="E12" s="9" t="inlineStr">
        <x:is>
          <x:t xml:space="preserve">Mid-proof generalization-robustness rate should predict completion better than inference-validity rate.</x:t>
        </x:is>
      </x:c>
    </x:row>
    <x:row r="13" ht="45" customHeight="1">
      <x:c r="A13" s="32" t="inlineStr">
        <x:is>
          <x:t xml:space="preserve">Structural signal</x:t>
        </x:is>
      </x:c>
      <x:c r="B13" s="9" t="inlineStr">
        <x:is>
          <x:t xml:space="preserve">Self-rejection is better at route screening than derivation auditing</x:t>
        </x:is>
      </x:c>
      <x:c r="C13" s="15" t="inlineStr">
        <x:is>
          <x:t xml:space="preserve">P2, P4, P5</x:t>
        </x:is>
      </x:c>
      <x:c r="D13" s="9" t="inlineStr">
        <x:is>
          <x:t xml:space="preserve">The model correctly rejects many dead routes, but misses some invalid inferences that only the audit catches.</x:t>
        </x:is>
      </x:c>
      <x:c r="E13" s="9" t="inlineStr">
        <x:is>
          <x:t xml:space="preserve">The self-rejected to audit-rejected ratio should stay above 1 if route screening is easier than derivation auditing.</x:t>
        </x:is>
      </x:c>
    </x:row>
    <x:row r="14" ht="30" customHeight="1">
      <x:c r="A14" s="32" t="inlineStr">
        <x:is>
          <x:t xml:space="preserve">Structural signal</x:t>
        </x:is>
      </x:c>
      <x:c r="B14" s="9" t="inlineStr">
        <x:is>
          <x:t xml:space="preserve">Elimination events are compute-efficient</x:t>
        </x:is>
      </x:c>
      <x:c r="C14" s="15" t="inlineStr">
        <x:is>
          <x:t xml:space="preserve">P4-R1, P6-T3, P3-M1-NT</x:t>
        </x:is>
      </x:c>
      <x:c r="D14" s="9" t="inlineStr">
        <x:is>
          <x:t xml:space="preserve">A single counterexample or obstruction can remove an entire proof family.</x:t>
        </x:is>
      </x:c>
      <x:c r="E14" s="9" t="inlineStr">
        <x:is>
          <x:t xml:space="preserve">Elimination steps should deliver the highest uncertainty reduction per unit compute.</x:t>
        </x:is>
      </x:c>
    </x:row>
    <x:row r="15" ht="45" customHeight="1">
      <x:c r="A15" s="32" t="inlineStr">
        <x:is>
          <x:t xml:space="preserve">Structural signal</x:t>
        </x:is>
      </x:c>
      <x:c r="B15" s="9" t="inlineStr">
        <x:is>
          <x:t xml:space="preserve">Positive and negative discovery remain balanced</x:t>
        </x:is>
      </x:c>
      <x:c r="C15" s="15" t="inlineStr">
        <x:is>
          <x:t xml:space="preserve">All problems</x:t>
        </x:is>
      </x:c>
      <x:c r="D15" s="9" t="inlineStr">
        <x:is>
          <x:t xml:space="preserve">The pilot produces both constructions and boundary information. Negative results are not leftovers; they are part of the usable output.</x:t>
        </x:is>
      </x:c>
      <x:c r="E15" s="9" t="inlineStr">
        <x:is>
          <x:t xml:space="preserve">Larger corpora should preserve a roughly balanced positive-versus-negative discovery mix.</x:t>
        </x:is>
      </x:c>
    </x:row>
    <x:row r="16" ht="30" customHeight="1">
      <x:c r="A16" s="32" t="inlineStr">
        <x:is>
          <x:t xml:space="preserve">Structural signal</x:t>
        </x:is>
      </x:c>
      <x:c r="B16" s="9" t="inlineStr">
        <x:is>
          <x:t xml:space="preserve">Late steps become forced in complete proofs</x:t>
        </x:is>
      </x:c>
      <x:c r="C16" s="15" t="inlineStr">
        <x:is>
          <x:t xml:space="preserve">P8, P9 versus P3</x:t>
        </x:is>
      </x:c>
      <x:c r="D16" s="9" t="inlineStr">
        <x:is>
          <x:t xml:space="preserve">Complete proofs narrow to one viable continuation, while incomplete proofs end with multiple live routes.</x:t>
        </x:is>
      </x:c>
      <x:c r="E16" s="9" t="inlineStr">
        <x:is>
          <x:t xml:space="preserve">Late-stage branch width should discriminate complete from partial runs.</x:t>
        </x:is>
      </x:c>
    </x:row>
    <x:row r="17" ht="45" customHeight="1">
      <x:c r="A17" s="32" t="inlineStr">
        <x:is>
          <x:t xml:space="preserve">Structural signal</x:t>
        </x:is>
      </x:c>
      <x:c r="B17" s="9" t="inlineStr">
        <x:is>
          <x:t xml:space="preserve">Single-gap conditionals are closer to repair than strategy failures</x:t>
        </x:is>
      </x:c>
      <x:c r="C17" s="15" t="inlineStr">
        <x:is>
          <x:t xml:space="preserve">P1, P7, P10 versus P2-P4</x:t>
        </x:is>
      </x:c>
      <x:c r="D17" s="9" t="inlineStr">
        <x:is>
          <x:t xml:space="preserve">A nearly complete chain with one explicit missing premise is structurally closer to closure than a run with several unresolved mechanisms.</x:t>
        </x:is>
      </x:c>
      <x:c r="E17" s="9" t="inlineStr">
        <x:is>
          <x:t xml:space="preserve">One-gap conditionals should convert to complete proofs at higher repair rates than strategy-failure partials.</x:t>
        </x:is>
      </x:c>
    </x:row>
  </x:sheetData>
  <x:mergeCells>
    <x:mergeCell ref="A2:E2"/>
    <x:mergeCell ref="A1:E1"/>
  </x:mergeCells>
  <x:pageMargins left="0.7" right="0.7" top="0.75" bottom="0.75" header="0.3" footer="0.3"/>
</x:worksheet>
</file>